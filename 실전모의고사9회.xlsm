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user\Downloads\"/>
    </mc:Choice>
  </mc:AlternateContent>
  <bookViews>
    <workbookView xWindow="0" yWindow="0" windowWidth="28800" windowHeight="12285" activeTab="3"/>
  </bookViews>
  <sheets>
    <sheet name="기본작업-1" sheetId="9" r:id="rId1"/>
    <sheet name="기본작업-2" sheetId="2" r:id="rId2"/>
    <sheet name="기본작업-3" sheetId="19" r:id="rId3"/>
    <sheet name="계산작업" sheetId="26" r:id="rId4"/>
    <sheet name="분석작업-1" sheetId="11" r:id="rId5"/>
    <sheet name="분석작업-2" sheetId="23" r:id="rId6"/>
    <sheet name="매크로작업" sheetId="24" r:id="rId7"/>
    <sheet name="차트작업" sheetId="25" r:id="rId8"/>
  </sheets>
  <definedNames>
    <definedName name="_xlnm._FilterDatabase" localSheetId="2" hidden="1">'기본작업-3'!#REF!</definedName>
    <definedName name="시간당금액">#REF!</definedName>
    <definedName name="실수령액">#REF!</definedName>
    <definedName name="오픈일자">'기본작업-1'!#REF!</definedName>
    <definedName name="학점이" localSheetId="0">#REF!</definedName>
    <definedName name="학점이">#REF!</definedName>
    <definedName name="학점표" localSheetId="0">#REF!</definedName>
    <definedName name="학점표">#REF!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6" i="26" l="1"/>
  <c r="D27" i="26"/>
  <c r="D28" i="26"/>
  <c r="D29" i="26"/>
  <c r="D30" i="26"/>
  <c r="D31" i="26"/>
  <c r="D32" i="26"/>
  <c r="D25" i="26"/>
  <c r="I16" i="26"/>
  <c r="I17" i="26"/>
  <c r="I18" i="26"/>
  <c r="I19" i="26"/>
  <c r="I20" i="26"/>
  <c r="I21" i="26"/>
  <c r="I15" i="26"/>
  <c r="D16" i="26"/>
  <c r="D17" i="26"/>
  <c r="D18" i="26"/>
  <c r="D19" i="26"/>
  <c r="D20" i="26"/>
  <c r="D21" i="26"/>
  <c r="D15" i="26"/>
  <c r="K11" i="26"/>
  <c r="D4" i="26"/>
  <c r="D5" i="26"/>
  <c r="D6" i="26"/>
  <c r="D7" i="26"/>
  <c r="D8" i="26"/>
  <c r="D9" i="26"/>
  <c r="D10" i="26"/>
  <c r="D11" i="26"/>
  <c r="D3" i="26"/>
  <c r="E11" i="11" l="1"/>
  <c r="G11" i="11" s="1"/>
  <c r="F11" i="11" s="1"/>
  <c r="E10" i="11"/>
  <c r="G10" i="11" s="1"/>
  <c r="F10" i="11" s="1"/>
  <c r="G9" i="11"/>
  <c r="F9" i="11" s="1"/>
  <c r="E9" i="11"/>
  <c r="E8" i="11"/>
  <c r="G8" i="11" s="1"/>
  <c r="F8" i="11" s="1"/>
  <c r="E7" i="11"/>
  <c r="G7" i="11" s="1"/>
  <c r="F7" i="11" s="1"/>
  <c r="E6" i="11"/>
  <c r="G6" i="11" s="1"/>
  <c r="F6" i="11" s="1"/>
  <c r="E5" i="11"/>
  <c r="G5" i="11" s="1"/>
  <c r="F5" i="11" s="1"/>
  <c r="E4" i="11"/>
  <c r="G4" i="11" s="1"/>
  <c r="F4" i="11" s="1"/>
  <c r="G12" i="11" l="1"/>
</calcChain>
</file>

<file path=xl/sharedStrings.xml><?xml version="1.0" encoding="utf-8"?>
<sst xmlns="http://schemas.openxmlformats.org/spreadsheetml/2006/main" count="320" uniqueCount="240">
  <si>
    <t>[표1]</t>
    <phoneticPr fontId="1" type="noConversion"/>
  </si>
  <si>
    <t>성명</t>
  </si>
  <si>
    <t>곽병찬</t>
  </si>
  <si>
    <t>나미혜</t>
  </si>
  <si>
    <t>오승철</t>
  </si>
  <si>
    <t>장석환</t>
  </si>
  <si>
    <t>정원경</t>
  </si>
  <si>
    <t>성완민</t>
  </si>
  <si>
    <t>전나라</t>
  </si>
  <si>
    <t>판매량</t>
  </si>
  <si>
    <t>이상화</t>
    <phoneticPr fontId="1" type="noConversion"/>
  </si>
  <si>
    <t>지역</t>
    <phoneticPr fontId="1" type="noConversion"/>
  </si>
  <si>
    <t>학번</t>
  </si>
  <si>
    <t>이름</t>
  </si>
  <si>
    <t>학과</t>
  </si>
  <si>
    <t>출석</t>
    <phoneticPr fontId="1" type="noConversion"/>
  </si>
  <si>
    <t>과제</t>
  </si>
  <si>
    <t>중간</t>
  </si>
  <si>
    <t>기말</t>
  </si>
  <si>
    <t>F</t>
  </si>
  <si>
    <t>D</t>
  </si>
  <si>
    <t>C</t>
  </si>
  <si>
    <t>B</t>
  </si>
  <si>
    <t>A</t>
  </si>
  <si>
    <t>출석</t>
  </si>
  <si>
    <t>홍길동</t>
  </si>
  <si>
    <t>이상화</t>
  </si>
  <si>
    <t>[표1]</t>
  </si>
  <si>
    <t>매출액</t>
  </si>
  <si>
    <t>이미현</t>
    <phoneticPr fontId="1" type="noConversion"/>
  </si>
  <si>
    <t xml:space="preserve">[표3] </t>
  </si>
  <si>
    <t xml:space="preserve">[표5] </t>
  </si>
  <si>
    <t>엄기영</t>
    <phoneticPr fontId="1" type="noConversion"/>
  </si>
  <si>
    <t>오승민</t>
    <phoneticPr fontId="1" type="noConversion"/>
  </si>
  <si>
    <t>유향기</t>
    <phoneticPr fontId="1" type="noConversion"/>
  </si>
  <si>
    <t>이시현</t>
    <phoneticPr fontId="1" type="noConversion"/>
  </si>
  <si>
    <t>김지혜</t>
    <phoneticPr fontId="1" type="noConversion"/>
  </si>
  <si>
    <t>고강민</t>
    <phoneticPr fontId="1" type="noConversion"/>
  </si>
  <si>
    <t>조승혁</t>
    <phoneticPr fontId="1" type="noConversion"/>
  </si>
  <si>
    <t>부서명</t>
  </si>
  <si>
    <t>기본급</t>
  </si>
  <si>
    <t>상여급</t>
    <phoneticPr fontId="1" type="noConversion"/>
  </si>
  <si>
    <t>판매단가</t>
  </si>
  <si>
    <t>상공부동산 건물관리 대장</t>
    <phoneticPr fontId="1" type="noConversion"/>
  </si>
  <si>
    <t>단위 : 만원</t>
    <phoneticPr fontId="1" type="noConversion"/>
  </si>
  <si>
    <t>지원부서</t>
  </si>
  <si>
    <t>필기</t>
  </si>
  <si>
    <t>자격증</t>
  </si>
  <si>
    <t>면접</t>
  </si>
  <si>
    <t>평균</t>
  </si>
  <si>
    <t>결과</t>
  </si>
  <si>
    <t>권유식</t>
  </si>
  <si>
    <t>총무부</t>
  </si>
  <si>
    <t>합격</t>
  </si>
  <si>
    <t>고광명</t>
  </si>
  <si>
    <t>영업부</t>
  </si>
  <si>
    <t>김순식</t>
  </si>
  <si>
    <t>인사부</t>
  </si>
  <si>
    <t>불합격</t>
  </si>
  <si>
    <t>도현명</t>
  </si>
  <si>
    <t>박문수</t>
  </si>
  <si>
    <t>홍보부</t>
  </si>
  <si>
    <t>이기자</t>
  </si>
  <si>
    <t>관리부</t>
  </si>
  <si>
    <t>진달호</t>
  </si>
  <si>
    <t>하지만</t>
  </si>
  <si>
    <t>한기철</t>
  </si>
  <si>
    <t>총점</t>
  </si>
  <si>
    <t>최고점수</t>
  </si>
  <si>
    <t>엄기영</t>
  </si>
  <si>
    <t>오승민</t>
  </si>
  <si>
    <t>유향기</t>
  </si>
  <si>
    <t>김지혜</t>
  </si>
  <si>
    <t>고강민</t>
  </si>
  <si>
    <t>조승혁</t>
  </si>
  <si>
    <t>김승우</t>
    <phoneticPr fontId="1" type="noConversion"/>
  </si>
  <si>
    <t>과제</t>
    <phoneticPr fontId="1" type="noConversion"/>
  </si>
  <si>
    <t>시험</t>
    <phoneticPr fontId="1" type="noConversion"/>
  </si>
  <si>
    <t>실기</t>
    <phoneticPr fontId="1" type="noConversion"/>
  </si>
  <si>
    <t>D</t>
    <phoneticPr fontId="1" type="noConversion"/>
  </si>
  <si>
    <t>최저점수</t>
    <phoneticPr fontId="1" type="noConversion"/>
  </si>
  <si>
    <t>결과</t>
    <phoneticPr fontId="1" type="noConversion"/>
  </si>
  <si>
    <t>상반기 신입사원 지원 현황</t>
    <phoneticPr fontId="1" type="noConversion"/>
  </si>
  <si>
    <t>연간매출액</t>
  </si>
  <si>
    <t>구분</t>
    <phoneticPr fontId="1" type="noConversion"/>
  </si>
  <si>
    <t>주문번호</t>
    <phoneticPr fontId="1" type="noConversion"/>
  </si>
  <si>
    <t>물품명</t>
  </si>
  <si>
    <t>단가</t>
  </si>
  <si>
    <t>매출수량</t>
  </si>
  <si>
    <t>반품수량</t>
  </si>
  <si>
    <t>수익율</t>
  </si>
  <si>
    <t>순수매출액</t>
  </si>
  <si>
    <t>1분기</t>
    <phoneticPr fontId="1" type="noConversion"/>
  </si>
  <si>
    <t>2분기</t>
  </si>
  <si>
    <t>3분기</t>
  </si>
  <si>
    <t>4분기</t>
  </si>
  <si>
    <t>[표1]</t>
    <phoneticPr fontId="1" type="noConversion"/>
  </si>
  <si>
    <t>영업사원별 급여 현황</t>
  </si>
  <si>
    <t>[표2]</t>
    <phoneticPr fontId="1" type="noConversion"/>
  </si>
  <si>
    <t>지점별 평균</t>
    <phoneticPr fontId="1" type="noConversion"/>
  </si>
  <si>
    <t>사원명</t>
  </si>
  <si>
    <t>소속지점</t>
  </si>
  <si>
    <t>직급</t>
  </si>
  <si>
    <t>판매실적</t>
  </si>
  <si>
    <t>성과급</t>
  </si>
  <si>
    <t>박찬훈</t>
  </si>
  <si>
    <t>서초</t>
  </si>
  <si>
    <t>4급</t>
  </si>
  <si>
    <t>김종택</t>
  </si>
  <si>
    <t>3급</t>
  </si>
  <si>
    <t>종로</t>
  </si>
  <si>
    <t>한우규</t>
  </si>
  <si>
    <t>5급</t>
  </si>
  <si>
    <t>최수형</t>
  </si>
  <si>
    <t>김덕진</t>
  </si>
  <si>
    <t>강남</t>
  </si>
  <si>
    <t>이소라</t>
  </si>
  <si>
    <t>이명섭</t>
  </si>
  <si>
    <t>강북</t>
  </si>
  <si>
    <t>정영일</t>
  </si>
  <si>
    <t>2급</t>
  </si>
  <si>
    <t>이진철</t>
    <phoneticPr fontId="1" type="noConversion"/>
  </si>
  <si>
    <t>김성길</t>
    <phoneticPr fontId="1" type="noConversion"/>
  </si>
  <si>
    <t>최이현</t>
    <phoneticPr fontId="1" type="noConversion"/>
  </si>
  <si>
    <t>박경욱</t>
    <phoneticPr fontId="1" type="noConversion"/>
  </si>
  <si>
    <t>상공대학교 공학관 성적 일람표</t>
    <phoneticPr fontId="1" type="noConversion"/>
  </si>
  <si>
    <t>성별</t>
  </si>
  <si>
    <t>A001</t>
  </si>
  <si>
    <t>인공지능학과</t>
    <phoneticPr fontId="1" type="noConversion"/>
  </si>
  <si>
    <t>B001</t>
  </si>
  <si>
    <t>전기전자공학과</t>
    <phoneticPr fontId="1" type="noConversion"/>
  </si>
  <si>
    <t>C001</t>
  </si>
  <si>
    <t>정보보안과</t>
    <phoneticPr fontId="1" type="noConversion"/>
  </si>
  <si>
    <t>A004</t>
  </si>
  <si>
    <t>M</t>
  </si>
  <si>
    <t>C003</t>
  </si>
  <si>
    <t>D001</t>
  </si>
  <si>
    <t>컴퓨터공학과</t>
    <phoneticPr fontId="1" type="noConversion"/>
  </si>
  <si>
    <t>B002</t>
  </si>
  <si>
    <t>D002</t>
  </si>
  <si>
    <t>박인숙</t>
  </si>
  <si>
    <t>C002</t>
  </si>
  <si>
    <t>문철규</t>
    <phoneticPr fontId="1" type="noConversion"/>
  </si>
  <si>
    <t>D003</t>
  </si>
  <si>
    <t>육아 휴직 신청자 목록</t>
    <phoneticPr fontId="1" type="noConversion"/>
  </si>
  <si>
    <t>[표2]</t>
  </si>
  <si>
    <t>근무자료</t>
  </si>
  <si>
    <t>고객명</t>
    <phoneticPr fontId="1" type="noConversion"/>
  </si>
  <si>
    <t>육아휴직</t>
    <phoneticPr fontId="1" type="noConversion"/>
  </si>
  <si>
    <t>복직일</t>
    <phoneticPr fontId="1" type="noConversion"/>
  </si>
  <si>
    <t>본봉총액</t>
  </si>
  <si>
    <t>나영희</t>
  </si>
  <si>
    <t>임원실</t>
    <phoneticPr fontId="1" type="noConversion"/>
  </si>
  <si>
    <t>박시영</t>
  </si>
  <si>
    <t>기술부</t>
  </si>
  <si>
    <t>임영아</t>
  </si>
  <si>
    <t>안효동</t>
  </si>
  <si>
    <t>&lt;조건&gt;</t>
    <phoneticPr fontId="1" type="noConversion"/>
  </si>
  <si>
    <t>이신세</t>
  </si>
  <si>
    <t>강진성</t>
    <phoneticPr fontId="1" type="noConversion"/>
  </si>
  <si>
    <t>김철수</t>
    <phoneticPr fontId="1" type="noConversion"/>
  </si>
  <si>
    <t>이지혜</t>
    <phoneticPr fontId="1" type="noConversion"/>
  </si>
  <si>
    <t>한지민</t>
    <phoneticPr fontId="1" type="noConversion"/>
  </si>
  <si>
    <t>상여급 평균</t>
    <phoneticPr fontId="1" type="noConversion"/>
  </si>
  <si>
    <t>이영철</t>
    <phoneticPr fontId="1" type="noConversion"/>
  </si>
  <si>
    <t>한우 농가 현황</t>
    <phoneticPr fontId="1" type="noConversion"/>
  </si>
  <si>
    <t xml:space="preserve">[표4] </t>
  </si>
  <si>
    <t>완구류 매출</t>
  </si>
  <si>
    <t>&lt;제품 코드표&gt;</t>
    <phoneticPr fontId="1" type="noConversion"/>
  </si>
  <si>
    <t>소이름</t>
    <phoneticPr fontId="1" type="noConversion"/>
  </si>
  <si>
    <t>몸무게</t>
  </si>
  <si>
    <t>등급</t>
    <phoneticPr fontId="1" type="noConversion"/>
  </si>
  <si>
    <t>제품코드</t>
  </si>
  <si>
    <t>품명</t>
  </si>
  <si>
    <t>판매금액</t>
  </si>
  <si>
    <t>코드</t>
  </si>
  <si>
    <t>안성</t>
    <phoneticPr fontId="1" type="noConversion"/>
  </si>
  <si>
    <t>까망이</t>
  </si>
  <si>
    <t>Y201K</t>
  </si>
  <si>
    <t>곰인형</t>
  </si>
  <si>
    <t>K</t>
  </si>
  <si>
    <t>홍천</t>
    <phoneticPr fontId="1" type="noConversion"/>
  </si>
  <si>
    <t>마루</t>
  </si>
  <si>
    <t>B450N</t>
  </si>
  <si>
    <t>축구공</t>
    <phoneticPr fontId="1" type="noConversion"/>
  </si>
  <si>
    <t>N</t>
  </si>
  <si>
    <t>대관령</t>
    <phoneticPr fontId="1" type="noConversion"/>
  </si>
  <si>
    <t>영월</t>
    <phoneticPr fontId="1" type="noConversion"/>
  </si>
  <si>
    <t>Y203D</t>
  </si>
  <si>
    <t>스티커</t>
    <phoneticPr fontId="1" type="noConversion"/>
  </si>
  <si>
    <t>홍성</t>
    <phoneticPr fontId="1" type="noConversion"/>
  </si>
  <si>
    <t>참우</t>
    <phoneticPr fontId="1" type="noConversion"/>
  </si>
  <si>
    <t>Y012G</t>
  </si>
  <si>
    <t>소꿉놀이</t>
    <phoneticPr fontId="1" type="noConversion"/>
  </si>
  <si>
    <t>G</t>
  </si>
  <si>
    <t>영암</t>
    <phoneticPr fontId="1" type="noConversion"/>
  </si>
  <si>
    <t>황우</t>
    <phoneticPr fontId="1" type="noConversion"/>
  </si>
  <si>
    <t>Y305K</t>
  </si>
  <si>
    <t>Y</t>
  </si>
  <si>
    <t>물총</t>
    <phoneticPr fontId="1" type="noConversion"/>
  </si>
  <si>
    <t>영주</t>
    <phoneticPr fontId="1" type="noConversion"/>
  </si>
  <si>
    <t>봉돌이</t>
    <phoneticPr fontId="1" type="noConversion"/>
  </si>
  <si>
    <t>Y365Y</t>
  </si>
  <si>
    <t>김해</t>
    <phoneticPr fontId="1" type="noConversion"/>
  </si>
  <si>
    <t>망울이</t>
    <phoneticPr fontId="1" type="noConversion"/>
  </si>
  <si>
    <t>B304N</t>
  </si>
  <si>
    <t>비행기 일정표</t>
    <phoneticPr fontId="1" type="noConversion"/>
  </si>
  <si>
    <t>비행편명</t>
  </si>
  <si>
    <t>국가-도시</t>
  </si>
  <si>
    <t>출국시간</t>
    <phoneticPr fontId="1" type="noConversion"/>
  </si>
  <si>
    <t>국가명</t>
    <phoneticPr fontId="1" type="noConversion"/>
  </si>
  <si>
    <t>Korea-Seoul</t>
  </si>
  <si>
    <t>Greece-Athens</t>
  </si>
  <si>
    <t>Japan-Tokyo</t>
  </si>
  <si>
    <t>France-Paris</t>
  </si>
  <si>
    <t>Brazil-Brasilia</t>
  </si>
  <si>
    <t>Chile-Santiago</t>
  </si>
  <si>
    <t>Russia-Moskva</t>
  </si>
  <si>
    <t>Egypt-Cairo</t>
  </si>
  <si>
    <t>국가별 년도별 차(TEA) 수출 현황</t>
    <phoneticPr fontId="1" type="noConversion"/>
  </si>
  <si>
    <t>국명</t>
    <phoneticPr fontId="26" type="noConversion"/>
  </si>
  <si>
    <t>중국</t>
    <phoneticPr fontId="26" type="noConversion"/>
  </si>
  <si>
    <t>베트남</t>
    <phoneticPr fontId="26" type="noConversion"/>
  </si>
  <si>
    <t>인도</t>
    <phoneticPr fontId="26" type="noConversion"/>
  </si>
  <si>
    <t>스리랑카</t>
    <phoneticPr fontId="26" type="noConversion"/>
  </si>
  <si>
    <t>일본</t>
    <phoneticPr fontId="26" type="noConversion"/>
  </si>
  <si>
    <t>대만</t>
    <phoneticPr fontId="26" type="noConversion"/>
  </si>
  <si>
    <t>2024년</t>
    <phoneticPr fontId="1" type="noConversion"/>
  </si>
  <si>
    <t>2025년</t>
  </si>
  <si>
    <t>2026년</t>
  </si>
  <si>
    <t>휴가시작일</t>
    <phoneticPr fontId="1" type="noConversion"/>
  </si>
  <si>
    <t>매출액합계</t>
    <phoneticPr fontId="1" type="noConversion"/>
  </si>
  <si>
    <t>&lt;결과표&gt;</t>
    <phoneticPr fontId="1" type="noConversion"/>
  </si>
  <si>
    <t>구간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</si>
  <si>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</si>
  <si>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</si>
  <si>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</si>
  <si>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※ 상공정보처리 고등학교 1학기 성적 현황 ※</t>
    <phoneticPr fontId="1" type="noConversion"/>
  </si>
  <si>
    <t>부서명</t>
    <phoneticPr fontId="1" type="noConversion"/>
  </si>
  <si>
    <t>관리부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</si>
</sst>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42" formatCode="_-&quot;₩&quot;* #,##0_-;\-&quot;₩&quot;* #,##0_-;_-&quot;₩&quot;* &quot;-&quot;_-;_-@_-"/>
    <numFmt numFmtId="41" formatCode="_-* #,##0_-;\-* #,##0_-;_-* &quot;-&quot;_-;_-@_-"/>
    <numFmt numFmtId="176" formatCode="0_ "/>
    <numFmt numFmtId="177" formatCode="0&quot;개월&quot;"/>
    <numFmt numFmtId="178" formatCode="0_);[Red]\(0\)"/>
    <numFmt numFmtId="179" formatCode="0&quot;~&quot;"/>
  </numFmts>
  <fonts count="28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</font>
    <font>
      <sz val="11"/>
      <color indexed="8"/>
      <name val="맑은 고딕"/>
      <family val="3"/>
      <charset val="129"/>
    </font>
    <font>
      <sz val="11"/>
      <color indexed="9"/>
      <name val="맑은 고딕"/>
      <family val="3"/>
      <charset val="129"/>
    </font>
    <font>
      <sz val="11"/>
      <color indexed="10"/>
      <name val="맑은 고딕"/>
      <family val="3"/>
      <charset val="129"/>
    </font>
    <font>
      <b/>
      <sz val="11"/>
      <color indexed="52"/>
      <name val="맑은 고딕"/>
      <family val="3"/>
      <charset val="129"/>
    </font>
    <font>
      <sz val="11"/>
      <color indexed="20"/>
      <name val="맑은 고딕"/>
      <family val="3"/>
      <charset val="129"/>
    </font>
    <font>
      <sz val="11"/>
      <name val="돋움"/>
      <family val="3"/>
      <charset val="129"/>
    </font>
    <font>
      <sz val="11"/>
      <color indexed="60"/>
      <name val="맑은 고딕"/>
      <family val="3"/>
      <charset val="129"/>
    </font>
    <font>
      <i/>
      <sz val="11"/>
      <color indexed="23"/>
      <name val="맑은 고딕"/>
      <family val="3"/>
      <charset val="129"/>
    </font>
    <font>
      <b/>
      <sz val="11"/>
      <color indexed="9"/>
      <name val="맑은 고딕"/>
      <family val="3"/>
      <charset val="129"/>
    </font>
    <font>
      <sz val="11"/>
      <color indexed="52"/>
      <name val="맑은 고딕"/>
      <family val="3"/>
      <charset val="129"/>
    </font>
    <font>
      <b/>
      <sz val="11"/>
      <color indexed="8"/>
      <name val="맑은 고딕"/>
      <family val="3"/>
      <charset val="129"/>
    </font>
    <font>
      <sz val="11"/>
      <color indexed="62"/>
      <name val="맑은 고딕"/>
      <family val="3"/>
      <charset val="129"/>
    </font>
    <font>
      <b/>
      <sz val="15"/>
      <color indexed="56"/>
      <name val="맑은 고딕"/>
      <family val="3"/>
      <charset val="129"/>
    </font>
    <font>
      <b/>
      <sz val="13"/>
      <color indexed="56"/>
      <name val="맑은 고딕"/>
      <family val="3"/>
      <charset val="129"/>
    </font>
    <font>
      <b/>
      <sz val="11"/>
      <color indexed="56"/>
      <name val="맑은 고딕"/>
      <family val="3"/>
      <charset val="129"/>
    </font>
    <font>
      <b/>
      <sz val="18"/>
      <color indexed="56"/>
      <name val="맑은 고딕"/>
      <family val="3"/>
      <charset val="129"/>
    </font>
    <font>
      <sz val="11"/>
      <color indexed="17"/>
      <name val="맑은 고딕"/>
      <family val="3"/>
      <charset val="129"/>
    </font>
    <font>
      <b/>
      <sz val="11"/>
      <color indexed="63"/>
      <name val="맑은 고딕"/>
      <family val="3"/>
      <charset val="129"/>
    </font>
    <font>
      <b/>
      <sz val="14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ajor"/>
    </font>
    <font>
      <sz val="8"/>
      <name val="돋움"/>
      <family val="3"/>
      <charset val="129"/>
    </font>
    <font>
      <sz val="11"/>
      <color theme="0"/>
      <name val="맑은 고딕"/>
      <family val="2"/>
      <charset val="129"/>
      <scheme val="minor"/>
    </font>
  </fonts>
  <fills count="28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26"/>
      </patternFill>
    </fill>
    <fill>
      <patternFill patternType="solid">
        <fgColor indexed="43"/>
      </patternFill>
    </fill>
    <fill>
      <patternFill patternType="solid">
        <fgColor indexed="55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8"/>
      </patternFill>
    </fill>
    <fill>
      <patternFill patternType="solid">
        <fgColor rgb="FF00B0F0"/>
        <bgColor indexed="64"/>
      </patternFill>
    </fill>
  </fills>
  <borders count="16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/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53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4" fillId="2" borderId="0" applyNumberFormat="0" applyBorder="0" applyAlignment="0" applyProtection="0">
      <alignment vertical="center"/>
    </xf>
    <xf numFmtId="0" fontId="4" fillId="3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0" fontId="4" fillId="6" borderId="0" applyNumberFormat="0" applyBorder="0" applyAlignment="0" applyProtection="0">
      <alignment vertical="center"/>
    </xf>
    <xf numFmtId="0" fontId="4" fillId="7" borderId="0" applyNumberFormat="0" applyBorder="0" applyAlignment="0" applyProtection="0">
      <alignment vertical="center"/>
    </xf>
    <xf numFmtId="0" fontId="4" fillId="8" borderId="0" applyNumberFormat="0" applyBorder="0" applyAlignment="0" applyProtection="0">
      <alignment vertical="center"/>
    </xf>
    <xf numFmtId="0" fontId="4" fillId="9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0" fontId="4" fillId="8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9" borderId="0" applyNumberFormat="0" applyBorder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3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3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20" borderId="1" applyNumberFormat="0" applyAlignment="0" applyProtection="0">
      <alignment vertical="center"/>
    </xf>
    <xf numFmtId="0" fontId="8" fillId="3" borderId="0" applyNumberFormat="0" applyBorder="0" applyAlignment="0" applyProtection="0">
      <alignment vertical="center"/>
    </xf>
    <xf numFmtId="0" fontId="4" fillId="21" borderId="2" applyNumberFormat="0" applyFont="0" applyAlignment="0" applyProtection="0">
      <alignment vertical="center"/>
    </xf>
    <xf numFmtId="9" fontId="9" fillId="0" borderId="0" applyFont="0" applyFill="0" applyBorder="0" applyAlignment="0" applyProtection="0"/>
    <xf numFmtId="9" fontId="2" fillId="0" borderId="0" applyFont="0" applyFill="0" applyBorder="0" applyAlignment="0" applyProtection="0">
      <alignment vertical="center"/>
    </xf>
    <xf numFmtId="0" fontId="10" fillId="22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23" borderId="3" applyNumberFormat="0" applyAlignment="0" applyProtection="0">
      <alignment vertical="center"/>
    </xf>
    <xf numFmtId="41" fontId="9" fillId="0" borderId="0" applyFont="0" applyFill="0" applyBorder="0" applyAlignment="0" applyProtection="0"/>
    <xf numFmtId="41" fontId="2" fillId="0" borderId="0" applyFont="0" applyFill="0" applyBorder="0" applyAlignment="0" applyProtection="0">
      <alignment vertical="center"/>
    </xf>
    <xf numFmtId="0" fontId="13" fillId="0" borderId="4" applyNumberFormat="0" applyFill="0" applyAlignment="0" applyProtection="0">
      <alignment vertical="center"/>
    </xf>
    <xf numFmtId="0" fontId="14" fillId="0" borderId="5" applyNumberFormat="0" applyFill="0" applyAlignment="0" applyProtection="0">
      <alignment vertical="center"/>
    </xf>
    <xf numFmtId="0" fontId="15" fillId="7" borderId="1" applyNumberFormat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8" fillId="0" borderId="8" applyNumberFormat="0" applyFill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4" borderId="0" applyNumberFormat="0" applyBorder="0" applyAlignment="0" applyProtection="0">
      <alignment vertical="center"/>
    </xf>
    <xf numFmtId="0" fontId="21" fillId="20" borderId="9" applyNumberFormat="0" applyAlignment="0" applyProtection="0">
      <alignment vertical="center"/>
    </xf>
    <xf numFmtId="42" fontId="9" fillId="0" borderId="0" applyFont="0" applyFill="0" applyBorder="0" applyAlignment="0" applyProtection="0"/>
    <xf numFmtId="0" fontId="2" fillId="0" borderId="0">
      <alignment vertical="center"/>
    </xf>
    <xf numFmtId="0" fontId="9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7" fillId="26" borderId="0" applyNumberFormat="0" applyBorder="0" applyAlignment="0" applyProtection="0">
      <alignment vertical="center"/>
    </xf>
  </cellStyleXfs>
  <cellXfs count="42">
    <xf numFmtId="0" fontId="0" fillId="0" borderId="0" xfId="0">
      <alignment vertical="center"/>
    </xf>
    <xf numFmtId="0" fontId="3" fillId="0" borderId="0" xfId="2">
      <alignment vertical="center"/>
    </xf>
    <xf numFmtId="0" fontId="0" fillId="0" borderId="10" xfId="0" applyBorder="1">
      <alignment vertical="center"/>
    </xf>
    <xf numFmtId="0" fontId="23" fillId="0" borderId="0" xfId="0" applyFont="1">
      <alignment vertical="center"/>
    </xf>
    <xf numFmtId="0" fontId="24" fillId="0" borderId="0" xfId="0" applyFont="1">
      <alignment vertical="center"/>
    </xf>
    <xf numFmtId="0" fontId="24" fillId="0" borderId="10" xfId="0" applyFont="1" applyBorder="1" applyAlignment="1">
      <alignment horizontal="center" vertical="center"/>
    </xf>
    <xf numFmtId="41" fontId="24" fillId="0" borderId="10" xfId="1" applyFont="1" applyBorder="1" applyAlignment="1">
      <alignment horizontal="center" vertical="center"/>
    </xf>
    <xf numFmtId="0" fontId="24" fillId="24" borderId="10" xfId="0" applyFont="1" applyFill="1" applyBorder="1" applyAlignment="1">
      <alignment horizontal="center" vertical="center"/>
    </xf>
    <xf numFmtId="0" fontId="25" fillId="0" borderId="10" xfId="2" applyFon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3" fillId="0" borderId="12" xfId="0" applyFont="1" applyBorder="1">
      <alignment vertical="center"/>
    </xf>
    <xf numFmtId="14" fontId="24" fillId="0" borderId="10" xfId="0" applyNumberFormat="1" applyFont="1" applyBorder="1" applyAlignment="1">
      <alignment horizontal="center" vertical="center"/>
    </xf>
    <xf numFmtId="176" fontId="24" fillId="0" borderId="10" xfId="0" applyNumberFormat="1" applyFont="1" applyBorder="1" applyAlignment="1">
      <alignment horizontal="center" vertical="center"/>
    </xf>
    <xf numFmtId="176" fontId="24" fillId="0" borderId="0" xfId="0" applyNumberFormat="1" applyFont="1">
      <alignment vertical="center"/>
    </xf>
    <xf numFmtId="0" fontId="0" fillId="0" borderId="11" xfId="0" applyBorder="1" applyAlignment="1">
      <alignment horizontal="center" vertical="center"/>
    </xf>
    <xf numFmtId="0" fontId="24" fillId="27" borderId="11" xfId="0" applyFont="1" applyFill="1" applyBorder="1" applyAlignment="1">
      <alignment horizontal="center" vertical="center"/>
    </xf>
    <xf numFmtId="2" fontId="0" fillId="0" borderId="0" xfId="0" applyNumberFormat="1">
      <alignment vertical="center"/>
    </xf>
    <xf numFmtId="2" fontId="0" fillId="0" borderId="11" xfId="0" applyNumberFormat="1" applyBorder="1" applyAlignment="1">
      <alignment horizontal="center" vertical="center"/>
    </xf>
    <xf numFmtId="0" fontId="0" fillId="25" borderId="11" xfId="0" applyFill="1" applyBorder="1" applyAlignment="1">
      <alignment horizontal="center" vertical="center"/>
    </xf>
    <xf numFmtId="41" fontId="0" fillId="0" borderId="11" xfId="0" applyNumberFormat="1" applyBorder="1" applyAlignment="1">
      <alignment horizontal="center" vertical="center"/>
    </xf>
    <xf numFmtId="41" fontId="0" fillId="0" borderId="11" xfId="1" applyFont="1" applyBorder="1" applyAlignment="1">
      <alignment horizontal="center" vertical="center"/>
    </xf>
    <xf numFmtId="9" fontId="0" fillId="0" borderId="11" xfId="51" applyFont="1" applyBorder="1" applyAlignment="1">
      <alignment horizontal="center" vertical="center"/>
    </xf>
    <xf numFmtId="41" fontId="24" fillId="0" borderId="10" xfId="1" applyFont="1" applyFill="1" applyBorder="1" applyAlignment="1">
      <alignment horizontal="center" vertical="center"/>
    </xf>
    <xf numFmtId="0" fontId="2" fillId="0" borderId="10" xfId="52" applyFont="1" applyFill="1" applyBorder="1" applyAlignment="1">
      <alignment horizontal="center" vertical="center"/>
    </xf>
    <xf numFmtId="0" fontId="24" fillId="0" borderId="10" xfId="52" applyFont="1" applyFill="1" applyBorder="1" applyAlignment="1">
      <alignment horizontal="center" vertical="center"/>
    </xf>
    <xf numFmtId="14" fontId="24" fillId="24" borderId="10" xfId="0" applyNumberFormat="1" applyFont="1" applyFill="1" applyBorder="1" applyAlignment="1">
      <alignment horizontal="center" vertical="center"/>
    </xf>
    <xf numFmtId="177" fontId="24" fillId="0" borderId="10" xfId="0" applyNumberFormat="1" applyFont="1" applyBorder="1" applyAlignment="1">
      <alignment horizontal="center" vertical="center"/>
    </xf>
    <xf numFmtId="41" fontId="24" fillId="0" borderId="10" xfId="0" applyNumberFormat="1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12" xfId="0" applyFont="1" applyBorder="1">
      <alignment vertical="center"/>
    </xf>
    <xf numFmtId="20" fontId="0" fillId="0" borderId="10" xfId="0" applyNumberFormat="1" applyBorder="1" applyAlignment="1">
      <alignment horizontal="center" vertical="center"/>
    </xf>
    <xf numFmtId="41" fontId="0" fillId="0" borderId="15" xfId="1" applyFont="1" applyFill="1" applyBorder="1" applyAlignment="1">
      <alignment horizontal="center" vertical="center"/>
    </xf>
    <xf numFmtId="0" fontId="0" fillId="24" borderId="11" xfId="0" applyFill="1" applyBorder="1" applyAlignment="1">
      <alignment horizontal="center" vertical="center"/>
    </xf>
    <xf numFmtId="178" fontId="0" fillId="0" borderId="0" xfId="1" applyNumberFormat="1" applyFont="1" applyAlignment="1">
      <alignment horizontal="center" vertical="center"/>
    </xf>
    <xf numFmtId="0" fontId="0" fillId="25" borderId="10" xfId="0" applyFill="1" applyBorder="1" applyAlignment="1">
      <alignment horizontal="center" vertical="center"/>
    </xf>
    <xf numFmtId="179" fontId="0" fillId="0" borderId="10" xfId="0" applyNumberForma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0" fillId="24" borderId="15" xfId="0" applyFill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</cellXfs>
  <cellStyles count="53">
    <cellStyle name="20% - 강조색1 2" xfId="3"/>
    <cellStyle name="20% - 강조색2 2" xfId="4"/>
    <cellStyle name="20% - 강조색3 2" xfId="5"/>
    <cellStyle name="20% - 강조색4 2" xfId="6"/>
    <cellStyle name="20% - 강조색5 2" xfId="7"/>
    <cellStyle name="20% - 강조색6 2" xfId="8"/>
    <cellStyle name="40% - 강조색1 2" xfId="9"/>
    <cellStyle name="40% - 강조색2 2" xfId="10"/>
    <cellStyle name="40% - 강조색3 2" xfId="11"/>
    <cellStyle name="40% - 강조색4 2" xfId="12"/>
    <cellStyle name="40% - 강조색5 2" xfId="13"/>
    <cellStyle name="40% - 강조색6 2" xfId="14"/>
    <cellStyle name="60% - 강조색1 2" xfId="15"/>
    <cellStyle name="60% - 강조색2 2" xfId="16"/>
    <cellStyle name="60% - 강조색3 2" xfId="17"/>
    <cellStyle name="60% - 강조색4 2" xfId="18"/>
    <cellStyle name="60% - 강조색5 2" xfId="19"/>
    <cellStyle name="60% - 강조색6 2" xfId="20"/>
    <cellStyle name="강조색1 2" xfId="21"/>
    <cellStyle name="강조색2 2" xfId="22"/>
    <cellStyle name="강조색3 2" xfId="23"/>
    <cellStyle name="강조색4 2" xfId="24"/>
    <cellStyle name="강조색5" xfId="52" builtinId="45"/>
    <cellStyle name="강조색5 2" xfId="25"/>
    <cellStyle name="강조색6 2" xfId="26"/>
    <cellStyle name="경고문 2" xfId="27"/>
    <cellStyle name="계산 2" xfId="28"/>
    <cellStyle name="나쁨 2" xfId="29"/>
    <cellStyle name="메모 2" xfId="30"/>
    <cellStyle name="백분율" xfId="51" builtinId="5"/>
    <cellStyle name="백분율 2" xfId="31"/>
    <cellStyle name="백분율 3" xfId="32"/>
    <cellStyle name="보통 2" xfId="33"/>
    <cellStyle name="설명 텍스트 2" xfId="34"/>
    <cellStyle name="셀 확인 2" xfId="35"/>
    <cellStyle name="쉼표 [0]" xfId="1" builtinId="6"/>
    <cellStyle name="쉼표 [0] 2" xfId="36"/>
    <cellStyle name="쉼표 [0] 3" xfId="37"/>
    <cellStyle name="연결된 셀 2" xfId="38"/>
    <cellStyle name="요약 2" xfId="39"/>
    <cellStyle name="입력 2" xfId="40"/>
    <cellStyle name="제목 1 2" xfId="41"/>
    <cellStyle name="제목 2 2" xfId="42"/>
    <cellStyle name="제목 3 2" xfId="43"/>
    <cellStyle name="제목 4 2" xfId="44"/>
    <cellStyle name="제목 5" xfId="45"/>
    <cellStyle name="좋음 2" xfId="46"/>
    <cellStyle name="출력 2" xfId="47"/>
    <cellStyle name="통화 [0] 2" xfId="48"/>
    <cellStyle name="표준" xfId="0" builtinId="0"/>
    <cellStyle name="표준 2" xfId="2"/>
    <cellStyle name="표준 3" xfId="49"/>
    <cellStyle name="표준 4" xfId="5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차트작업!$A$3</c:f>
              <c:strCache>
                <c:ptCount val="1"/>
                <c:pt idx="0">
                  <c:v>중국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차트작업!$B$2:$C$2</c:f>
              <c:strCache>
                <c:ptCount val="2"/>
                <c:pt idx="0">
                  <c:v>2024년</c:v>
                </c:pt>
                <c:pt idx="1">
                  <c:v>2025년</c:v>
                </c:pt>
              </c:strCache>
            </c:strRef>
          </c:cat>
          <c:val>
            <c:numRef>
              <c:f>차트작업!$B$3:$C$3</c:f>
              <c:numCache>
                <c:formatCode>General</c:formatCode>
                <c:ptCount val="2"/>
                <c:pt idx="0">
                  <c:v>250</c:v>
                </c:pt>
                <c:pt idx="1">
                  <c:v>680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C-49FA-98CE-785FA8BAD29E}"/>
            </c:ext>
          </c:extLst>
        </c:ser>
        <c:ser>
          <c:idx val="1"/>
          <c:order val="1"/>
          <c:tx>
            <c:strRef>
              <c:f>차트작업!$A$4</c:f>
              <c:strCache>
                <c:ptCount val="1"/>
                <c:pt idx="0">
                  <c:v>베트남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차트작업!$B$2:$C$2</c:f>
              <c:strCache>
                <c:ptCount val="2"/>
                <c:pt idx="0">
                  <c:v>2024년</c:v>
                </c:pt>
                <c:pt idx="1">
                  <c:v>2025년</c:v>
                </c:pt>
              </c:strCache>
            </c:strRef>
          </c:cat>
          <c:val>
            <c:numRef>
              <c:f>차트작업!$B$4:$C$4</c:f>
              <c:numCache>
                <c:formatCode>General</c:formatCode>
                <c:ptCount val="2"/>
                <c:pt idx="0">
                  <c:v>150</c:v>
                </c:pt>
                <c:pt idx="1">
                  <c:v>350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C-49FA-98CE-785FA8BAD29E}"/>
            </c:ext>
          </c:extLst>
        </c:ser>
        <c:ser>
          <c:idx val="2"/>
          <c:order val="2"/>
          <c:tx>
            <c:strRef>
              <c:f>차트작업!$A$5</c:f>
              <c:strCache>
                <c:ptCount val="1"/>
                <c:pt idx="0">
                  <c:v>인도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차트작업!$B$2:$C$2</c:f>
              <c:strCache>
                <c:ptCount val="2"/>
                <c:pt idx="0">
                  <c:v>2024년</c:v>
                </c:pt>
                <c:pt idx="1">
                  <c:v>2025년</c:v>
                </c:pt>
              </c:strCache>
            </c:strRef>
          </c:cat>
          <c:val>
            <c:numRef>
              <c:f>차트작업!$B$5:$C$5</c:f>
              <c:numCache>
                <c:formatCode>General</c:formatCode>
                <c:ptCount val="2"/>
                <c:pt idx="0">
                  <c:v>514</c:v>
                </c:pt>
                <c:pt idx="1">
                  <c:v>700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AC-49FA-98CE-785FA8BAD29E}"/>
            </c:ext>
          </c:extLst>
        </c:ser>
        <c:ser>
          <c:idx val="3"/>
          <c:order val="3"/>
          <c:tx>
            <c:strRef>
              <c:f>차트작업!$A$6</c:f>
              <c:strCache>
                <c:ptCount val="1"/>
                <c:pt idx="0">
                  <c:v>스리랑카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차트작업!$B$2:$C$2</c:f>
              <c:strCache>
                <c:ptCount val="2"/>
                <c:pt idx="0">
                  <c:v>2024년</c:v>
                </c:pt>
                <c:pt idx="1">
                  <c:v>2025년</c:v>
                </c:pt>
              </c:strCache>
            </c:strRef>
          </c:cat>
          <c:val>
            <c:numRef>
              <c:f>차트작업!$B$6:$C$6</c:f>
              <c:numCache>
                <c:formatCode>General</c:formatCode>
                <c:ptCount val="2"/>
                <c:pt idx="0">
                  <c:v>258</c:v>
                </c:pt>
                <c:pt idx="1">
                  <c:v>750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EAC-49FA-98CE-785FA8BAD29E}"/>
            </c:ext>
          </c:extLst>
        </c:ser>
        <c:ser>
          <c:idx val="4"/>
          <c:order val="4"/>
          <c:tx>
            <c:strRef>
              <c:f>차트작업!$A$7</c:f>
              <c:strCache>
                <c:ptCount val="1"/>
                <c:pt idx="0">
                  <c:v>일본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차트작업!$B$2:$C$2</c:f>
              <c:strCache>
                <c:ptCount val="2"/>
                <c:pt idx="0">
                  <c:v>2024년</c:v>
                </c:pt>
                <c:pt idx="1">
                  <c:v>2025년</c:v>
                </c:pt>
              </c:strCache>
            </c:strRef>
          </c:cat>
          <c:val>
            <c:numRef>
              <c:f>차트작업!$B$7:$C$7</c:f>
              <c:numCache>
                <c:formatCode>General</c:formatCode>
                <c:ptCount val="2"/>
                <c:pt idx="0">
                  <c:v>521</c:v>
                </c:pt>
                <c:pt idx="1">
                  <c:v>521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EAC-49FA-98CE-785FA8BAD29E}"/>
            </c:ext>
          </c:extLst>
        </c:ser>
        <c:ser>
          <c:idx val="5"/>
          <c:order val="5"/>
          <c:tx>
            <c:strRef>
              <c:f>차트작업!$A$8</c:f>
              <c:strCache>
                <c:ptCount val="1"/>
                <c:pt idx="0">
                  <c:v>대만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차트작업!$B$2:$C$2</c:f>
              <c:strCache>
                <c:ptCount val="2"/>
                <c:pt idx="0">
                  <c:v>2024년</c:v>
                </c:pt>
                <c:pt idx="1">
                  <c:v>2025년</c:v>
                </c:pt>
              </c:strCache>
            </c:strRef>
          </c:cat>
          <c:val>
            <c:numRef>
              <c:f>차트작업!$B$8:$C$8</c:f>
              <c:numCache>
                <c:formatCode>General</c:formatCode>
                <c:ptCount val="2"/>
                <c:pt idx="0">
                  <c:v>845</c:v>
                </c:pt>
                <c:pt idx="1">
                  <c:v>510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EAC-49FA-98CE-785FA8BAD2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11327807"/>
        <c:axId val="1211328223"/>
      </c:barChart>
      <c:catAx>
        <c:axId val="12113278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11328223"/>
        <c:crosses val="autoZero"/>
        <c:auto val="1"/>
        <c:lblAlgn val="ctr"/>
        <c:lblOffset val="100"/>
        <c:noMultiLvlLbl val="0"/>
      </c:catAx>
      <c:valAx>
        <c:axId val="12113282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113278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wmf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0</xdr:rowOff>
    </xdr:from>
    <xdr:to>
      <xdr:col>10</xdr:col>
      <xdr:colOff>0</xdr:colOff>
      <xdr:row>30</xdr:row>
      <xdr:rowOff>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D06DE7C3-DBB6-44DC-932E-E5B719E6E3B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</xdr:col>
      <xdr:colOff>1</xdr:colOff>
      <xdr:row>1</xdr:row>
      <xdr:rowOff>0</xdr:rowOff>
    </xdr:from>
    <xdr:to>
      <xdr:col>7</xdr:col>
      <xdr:colOff>132925</xdr:colOff>
      <xdr:row>8</xdr:row>
      <xdr:rowOff>0</xdr:rowOff>
    </xdr:to>
    <xdr:pic>
      <xdr:nvPicPr>
        <xdr:cNvPr id="5" name="그림 1" descr="C:\Program Files\Microsoft Office\MEDIA\CAGCAT10\j0222015.wmf">
          <a:extLst>
            <a:ext uri="{FF2B5EF4-FFF2-40B4-BE49-F238E27FC236}">
              <a16:creationId xmlns:a16="http://schemas.microsoft.com/office/drawing/2014/main" id="{D6EA5737-3D95-424B-AC2B-B32BCA93F01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74721" y="220980"/>
          <a:ext cx="1474044" cy="15468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9"/>
  <sheetViews>
    <sheetView workbookViewId="0"/>
  </sheetViews>
  <sheetFormatPr defaultColWidth="9" defaultRowHeight="16.5"/>
  <cols>
    <col min="1" max="1" width="8.75" style="1" customWidth="1"/>
    <col min="2" max="2" width="10.75" style="1" customWidth="1"/>
    <col min="3" max="3" width="12.125" style="1" customWidth="1"/>
    <col min="4" max="4" width="14.25" style="1" customWidth="1"/>
    <col min="5" max="6" width="8.75" style="1" customWidth="1"/>
    <col min="7" max="7" width="10.75" style="1" customWidth="1"/>
    <col min="8" max="16384" width="9" style="1"/>
  </cols>
  <sheetData>
    <row r="1" spans="1:7">
      <c r="A1" t="s">
        <v>43</v>
      </c>
      <c r="B1"/>
      <c r="C1"/>
      <c r="D1"/>
      <c r="E1"/>
      <c r="F1"/>
      <c r="G1"/>
    </row>
    <row r="2" spans="1:7">
      <c r="A2"/>
      <c r="B2"/>
      <c r="C2"/>
      <c r="D2"/>
      <c r="E2"/>
      <c r="F2"/>
      <c r="G2" s="10" t="s">
        <v>44</v>
      </c>
    </row>
    <row r="3" spans="1:7">
      <c r="A3" s="10"/>
      <c r="B3" s="10"/>
      <c r="C3" s="10"/>
      <c r="D3" s="10"/>
      <c r="E3" s="10"/>
      <c r="F3" s="10"/>
      <c r="G3" s="10"/>
    </row>
    <row r="4" spans="1:7">
      <c r="A4" s="10"/>
      <c r="B4" s="10"/>
      <c r="C4" s="10"/>
      <c r="D4" s="10"/>
      <c r="E4" s="10"/>
      <c r="F4" s="10"/>
      <c r="G4" s="34"/>
    </row>
    <row r="5" spans="1:7">
      <c r="A5" s="10"/>
      <c r="B5" s="10"/>
      <c r="C5" s="10"/>
      <c r="D5" s="10"/>
      <c r="E5" s="10"/>
      <c r="F5" s="10"/>
      <c r="G5" s="34"/>
    </row>
    <row r="6" spans="1:7">
      <c r="A6" s="10"/>
      <c r="B6" s="10"/>
      <c r="C6" s="10"/>
      <c r="D6" s="10"/>
      <c r="E6" s="10"/>
      <c r="F6" s="10"/>
      <c r="G6" s="34"/>
    </row>
    <row r="7" spans="1:7">
      <c r="A7" s="10"/>
      <c r="B7" s="10"/>
      <c r="C7" s="10"/>
      <c r="D7" s="10"/>
      <c r="E7" s="10"/>
      <c r="F7" s="10"/>
      <c r="G7" s="34"/>
    </row>
    <row r="8" spans="1:7">
      <c r="A8" s="10"/>
      <c r="B8" s="10"/>
      <c r="C8" s="10"/>
      <c r="D8" s="10"/>
      <c r="E8" s="10"/>
      <c r="F8" s="10"/>
      <c r="G8" s="34"/>
    </row>
    <row r="9" spans="1:7">
      <c r="A9" s="10"/>
      <c r="B9" s="10"/>
      <c r="C9" s="10"/>
      <c r="D9" s="10"/>
      <c r="E9" s="10"/>
      <c r="F9" s="10"/>
      <c r="G9" s="34"/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1"/>
  <sheetViews>
    <sheetView workbookViewId="0"/>
  </sheetViews>
  <sheetFormatPr defaultRowHeight="16.5"/>
  <cols>
    <col min="1" max="2" width="8.75" customWidth="1"/>
    <col min="3" max="7" width="9" customWidth="1"/>
  </cols>
  <sheetData>
    <row r="1" spans="1:7" ht="30" customHeight="1">
      <c r="A1" t="s">
        <v>237</v>
      </c>
    </row>
    <row r="3" spans="1:7">
      <c r="A3" t="s">
        <v>13</v>
      </c>
      <c r="B3" t="s">
        <v>15</v>
      </c>
      <c r="C3" t="s">
        <v>78</v>
      </c>
      <c r="D3" t="s">
        <v>77</v>
      </c>
      <c r="E3" t="s">
        <v>76</v>
      </c>
      <c r="F3" t="s">
        <v>67</v>
      </c>
      <c r="G3" t="s">
        <v>81</v>
      </c>
    </row>
    <row r="4" spans="1:7">
      <c r="A4" t="s">
        <v>69</v>
      </c>
      <c r="B4">
        <v>16</v>
      </c>
      <c r="C4">
        <v>17</v>
      </c>
      <c r="D4">
        <v>42</v>
      </c>
      <c r="E4">
        <v>8</v>
      </c>
      <c r="F4">
        <v>83</v>
      </c>
      <c r="G4" t="s">
        <v>22</v>
      </c>
    </row>
    <row r="5" spans="1:7">
      <c r="A5" t="s">
        <v>26</v>
      </c>
      <c r="B5">
        <v>15</v>
      </c>
      <c r="C5">
        <v>14</v>
      </c>
      <c r="D5">
        <v>38</v>
      </c>
      <c r="E5">
        <v>3</v>
      </c>
      <c r="F5">
        <v>70</v>
      </c>
      <c r="G5" t="s">
        <v>21</v>
      </c>
    </row>
    <row r="6" spans="1:7">
      <c r="A6" t="s">
        <v>70</v>
      </c>
      <c r="B6">
        <v>19</v>
      </c>
      <c r="C6">
        <v>18</v>
      </c>
      <c r="D6">
        <v>47</v>
      </c>
      <c r="E6">
        <v>9</v>
      </c>
      <c r="F6">
        <v>93</v>
      </c>
      <c r="G6" t="s">
        <v>23</v>
      </c>
    </row>
    <row r="7" spans="1:7">
      <c r="A7" t="s">
        <v>71</v>
      </c>
      <c r="B7">
        <v>18</v>
      </c>
      <c r="C7">
        <v>17</v>
      </c>
      <c r="D7">
        <v>49</v>
      </c>
      <c r="E7">
        <v>6</v>
      </c>
      <c r="F7">
        <v>90</v>
      </c>
      <c r="G7" t="s">
        <v>23</v>
      </c>
    </row>
    <row r="8" spans="1:7">
      <c r="A8" t="s">
        <v>72</v>
      </c>
      <c r="B8">
        <v>14</v>
      </c>
      <c r="C8">
        <v>15</v>
      </c>
      <c r="D8">
        <v>32</v>
      </c>
      <c r="E8">
        <v>2</v>
      </c>
      <c r="F8">
        <v>63</v>
      </c>
      <c r="G8" t="s">
        <v>20</v>
      </c>
    </row>
    <row r="9" spans="1:7">
      <c r="A9" t="s">
        <v>73</v>
      </c>
      <c r="B9">
        <v>12</v>
      </c>
      <c r="C9">
        <v>11</v>
      </c>
      <c r="D9">
        <v>42</v>
      </c>
      <c r="E9">
        <v>8</v>
      </c>
      <c r="F9">
        <v>73</v>
      </c>
      <c r="G9" t="s">
        <v>21</v>
      </c>
    </row>
    <row r="10" spans="1:7">
      <c r="A10" t="s">
        <v>74</v>
      </c>
      <c r="B10">
        <v>16</v>
      </c>
      <c r="C10">
        <v>17</v>
      </c>
      <c r="D10">
        <v>48</v>
      </c>
      <c r="E10">
        <v>6</v>
      </c>
      <c r="F10">
        <v>87</v>
      </c>
      <c r="G10" t="s">
        <v>22</v>
      </c>
    </row>
    <row r="11" spans="1:7">
      <c r="A11" t="s">
        <v>75</v>
      </c>
      <c r="B11">
        <v>17</v>
      </c>
      <c r="C11">
        <v>18</v>
      </c>
      <c r="D11">
        <v>46</v>
      </c>
      <c r="E11">
        <v>10</v>
      </c>
      <c r="F11">
        <v>91</v>
      </c>
      <c r="G11" t="s">
        <v>23</v>
      </c>
    </row>
    <row r="12" spans="1:7">
      <c r="A12" t="s">
        <v>49</v>
      </c>
      <c r="B12" s="17">
        <v>15.444444444444445</v>
      </c>
      <c r="C12" s="17">
        <v>15.444444444444445</v>
      </c>
      <c r="D12" s="17">
        <v>42.444444444444443</v>
      </c>
      <c r="E12" s="17">
        <v>6.1111111111111107</v>
      </c>
    </row>
    <row r="13" spans="1:7">
      <c r="A13" t="s">
        <v>68</v>
      </c>
      <c r="B13">
        <v>19</v>
      </c>
      <c r="C13">
        <v>18</v>
      </c>
      <c r="D13">
        <v>49</v>
      </c>
      <c r="E13">
        <v>10</v>
      </c>
    </row>
    <row r="14" spans="1:7">
      <c r="A14" t="s">
        <v>80</v>
      </c>
      <c r="B14">
        <v>12</v>
      </c>
      <c r="C14">
        <v>11</v>
      </c>
      <c r="D14">
        <v>32</v>
      </c>
      <c r="E14">
        <v>2</v>
      </c>
    </row>
    <row r="16" spans="1:7">
      <c r="A16" s="37" t="s">
        <v>232</v>
      </c>
      <c r="B16" s="37"/>
    </row>
    <row r="17" spans="1:2">
      <c r="A17" s="35" t="s">
        <v>233</v>
      </c>
      <c r="B17" s="35" t="s">
        <v>81</v>
      </c>
    </row>
    <row r="18" spans="1:2">
      <c r="A18" s="36">
        <v>90</v>
      </c>
      <c r="B18" s="9" t="s">
        <v>234</v>
      </c>
    </row>
    <row r="19" spans="1:2">
      <c r="A19" s="36">
        <v>80</v>
      </c>
      <c r="B19" s="9" t="s">
        <v>235</v>
      </c>
    </row>
    <row r="20" spans="1:2">
      <c r="A20" s="36">
        <v>70</v>
      </c>
      <c r="B20" s="9" t="s">
        <v>236</v>
      </c>
    </row>
    <row r="21" spans="1:2">
      <c r="A21" s="36">
        <v>60</v>
      </c>
      <c r="B21" s="9" t="s">
        <v>79</v>
      </c>
    </row>
  </sheetData>
  <mergeCells count="1">
    <mergeCell ref="A16:B16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4"/>
  <sheetViews>
    <sheetView workbookViewId="0">
      <selection sqref="A1:G1"/>
    </sheetView>
  </sheetViews>
  <sheetFormatPr defaultRowHeight="16.5"/>
  <sheetData>
    <row r="1" spans="1:7" ht="20.25">
      <c r="A1" s="38" t="s">
        <v>82</v>
      </c>
      <c r="B1" s="38"/>
      <c r="C1" s="38"/>
      <c r="D1" s="38"/>
      <c r="E1" s="38"/>
      <c r="F1" s="38"/>
      <c r="G1" s="38"/>
    </row>
    <row r="3" spans="1:7">
      <c r="A3" s="16" t="s">
        <v>1</v>
      </c>
      <c r="B3" s="16" t="s">
        <v>45</v>
      </c>
      <c r="C3" s="16" t="s">
        <v>46</v>
      </c>
      <c r="D3" s="16" t="s">
        <v>47</v>
      </c>
      <c r="E3" s="16" t="s">
        <v>48</v>
      </c>
      <c r="F3" s="16" t="s">
        <v>49</v>
      </c>
      <c r="G3" s="16" t="s">
        <v>50</v>
      </c>
    </row>
    <row r="4" spans="1:7">
      <c r="A4" s="15" t="s">
        <v>51</v>
      </c>
      <c r="B4" s="15" t="s">
        <v>52</v>
      </c>
      <c r="C4" s="15">
        <v>85</v>
      </c>
      <c r="D4" s="15">
        <v>60</v>
      </c>
      <c r="E4" s="15">
        <v>90</v>
      </c>
      <c r="F4" s="18">
        <v>78.333333333333329</v>
      </c>
      <c r="G4" s="15" t="s">
        <v>53</v>
      </c>
    </row>
    <row r="5" spans="1:7">
      <c r="A5" s="15" t="s">
        <v>54</v>
      </c>
      <c r="B5" s="15" t="s">
        <v>55</v>
      </c>
      <c r="C5" s="15">
        <v>75</v>
      </c>
      <c r="D5" s="15">
        <v>80</v>
      </c>
      <c r="E5" s="15">
        <v>90</v>
      </c>
      <c r="F5" s="18">
        <v>81.666666666666671</v>
      </c>
      <c r="G5" s="15" t="s">
        <v>53</v>
      </c>
    </row>
    <row r="6" spans="1:7">
      <c r="A6" s="15" t="s">
        <v>56</v>
      </c>
      <c r="B6" s="15" t="s">
        <v>57</v>
      </c>
      <c r="C6" s="15">
        <v>84</v>
      </c>
      <c r="D6" s="15">
        <v>40</v>
      </c>
      <c r="E6" s="15">
        <v>80</v>
      </c>
      <c r="F6" s="18">
        <v>68</v>
      </c>
      <c r="G6" s="15" t="s">
        <v>58</v>
      </c>
    </row>
    <row r="7" spans="1:7">
      <c r="A7" s="15" t="s">
        <v>59</v>
      </c>
      <c r="B7" s="15" t="s">
        <v>55</v>
      </c>
      <c r="C7" s="15">
        <v>80</v>
      </c>
      <c r="D7" s="15">
        <v>80</v>
      </c>
      <c r="E7" s="15">
        <v>70</v>
      </c>
      <c r="F7" s="18">
        <v>76.666666666666671</v>
      </c>
      <c r="G7" s="15" t="s">
        <v>53</v>
      </c>
    </row>
    <row r="8" spans="1:7">
      <c r="A8" s="15" t="s">
        <v>60</v>
      </c>
      <c r="B8" s="15" t="s">
        <v>61</v>
      </c>
      <c r="C8" s="15">
        <v>85</v>
      </c>
      <c r="D8" s="15">
        <v>100</v>
      </c>
      <c r="E8" s="15">
        <v>80</v>
      </c>
      <c r="F8" s="18">
        <v>88.333333333333329</v>
      </c>
      <c r="G8" s="15" t="s">
        <v>53</v>
      </c>
    </row>
    <row r="9" spans="1:7">
      <c r="A9" s="15" t="s">
        <v>62</v>
      </c>
      <c r="B9" s="15" t="s">
        <v>63</v>
      </c>
      <c r="C9" s="15">
        <v>90</v>
      </c>
      <c r="D9" s="15">
        <v>60</v>
      </c>
      <c r="E9" s="15">
        <v>90</v>
      </c>
      <c r="F9" s="18">
        <v>80</v>
      </c>
      <c r="G9" s="15" t="s">
        <v>53</v>
      </c>
    </row>
    <row r="10" spans="1:7">
      <c r="A10" s="15" t="s">
        <v>64</v>
      </c>
      <c r="B10" s="15" t="s">
        <v>57</v>
      </c>
      <c r="C10" s="15">
        <v>60</v>
      </c>
      <c r="D10" s="15">
        <v>60</v>
      </c>
      <c r="E10" s="15">
        <v>80</v>
      </c>
      <c r="F10" s="18">
        <v>66.666666666666671</v>
      </c>
      <c r="G10" s="15" t="s">
        <v>58</v>
      </c>
    </row>
    <row r="11" spans="1:7">
      <c r="A11" s="15" t="s">
        <v>65</v>
      </c>
      <c r="B11" s="15" t="s">
        <v>52</v>
      </c>
      <c r="C11" s="15">
        <v>95</v>
      </c>
      <c r="D11" s="15">
        <v>80</v>
      </c>
      <c r="E11" s="15">
        <v>90</v>
      </c>
      <c r="F11" s="18">
        <v>88.333333333333329</v>
      </c>
      <c r="G11" s="15" t="s">
        <v>53</v>
      </c>
    </row>
    <row r="12" spans="1:7">
      <c r="A12" s="15" t="s">
        <v>66</v>
      </c>
      <c r="B12" s="15" t="s">
        <v>63</v>
      </c>
      <c r="C12" s="15">
        <v>65</v>
      </c>
      <c r="D12" s="15">
        <v>80</v>
      </c>
      <c r="E12" s="15">
        <v>90</v>
      </c>
      <c r="F12" s="18">
        <v>78.333333333333329</v>
      </c>
      <c r="G12" s="15" t="s">
        <v>53</v>
      </c>
    </row>
    <row r="14" spans="1:7">
      <c r="A14" s="10"/>
    </row>
  </sheetData>
  <mergeCells count="1">
    <mergeCell ref="A1:G1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32"/>
  <sheetViews>
    <sheetView tabSelected="1" workbookViewId="0">
      <selection activeCell="N10" sqref="N10"/>
    </sheetView>
  </sheetViews>
  <sheetFormatPr defaultColWidth="8.75" defaultRowHeight="16.5"/>
  <cols>
    <col min="1" max="1" width="9" style="4" customWidth="1"/>
    <col min="2" max="2" width="15.375" style="4" customWidth="1"/>
    <col min="3" max="3" width="10.75" style="4" customWidth="1"/>
    <col min="4" max="4" width="11.75" style="4" customWidth="1"/>
    <col min="5" max="5" width="9.75" style="4" customWidth="1"/>
    <col min="6" max="6" width="9" style="4" customWidth="1"/>
    <col min="7" max="8" width="9.75" style="4" customWidth="1"/>
    <col min="9" max="9" width="10.75" style="4" customWidth="1"/>
    <col min="10" max="10" width="3.75" style="4" customWidth="1"/>
    <col min="11" max="11" width="10.75" style="4" customWidth="1"/>
    <col min="12" max="13" width="8.625" style="4" bestFit="1" customWidth="1"/>
    <col min="14" max="14" width="10.875" style="4" bestFit="1" customWidth="1"/>
    <col min="15" max="16384" width="8.75" style="4"/>
  </cols>
  <sheetData>
    <row r="1" spans="1:13">
      <c r="A1" s="4" t="s">
        <v>27</v>
      </c>
      <c r="B1" s="3" t="s">
        <v>144</v>
      </c>
      <c r="C1" s="3"/>
      <c r="D1" s="3"/>
      <c r="E1" s="3"/>
      <c r="F1" s="4" t="s">
        <v>145</v>
      </c>
      <c r="G1" s="11" t="s">
        <v>146</v>
      </c>
      <c r="I1" s="11"/>
    </row>
    <row r="2" spans="1:13">
      <c r="A2" s="5" t="s">
        <v>147</v>
      </c>
      <c r="B2" s="5" t="s">
        <v>230</v>
      </c>
      <c r="C2" s="5" t="s">
        <v>148</v>
      </c>
      <c r="D2" s="26" t="s">
        <v>149</v>
      </c>
      <c r="F2" s="5" t="s">
        <v>1</v>
      </c>
      <c r="G2" s="5" t="s">
        <v>39</v>
      </c>
      <c r="H2" s="5" t="s">
        <v>150</v>
      </c>
      <c r="I2" s="5" t="s">
        <v>41</v>
      </c>
    </row>
    <row r="3" spans="1:13">
      <c r="A3" s="5" t="s">
        <v>151</v>
      </c>
      <c r="B3" s="12">
        <v>45384</v>
      </c>
      <c r="C3" s="27">
        <v>12</v>
      </c>
      <c r="D3" s="12">
        <f>EDATE(B3,C3)</f>
        <v>45749</v>
      </c>
      <c r="F3" s="8" t="s">
        <v>4</v>
      </c>
      <c r="G3" s="5" t="s">
        <v>152</v>
      </c>
      <c r="H3" s="28">
        <v>20400</v>
      </c>
      <c r="I3" s="28">
        <v>20000</v>
      </c>
    </row>
    <row r="4" spans="1:13">
      <c r="A4" s="5" t="s">
        <v>153</v>
      </c>
      <c r="B4" s="12">
        <v>45622</v>
      </c>
      <c r="C4" s="27">
        <v>10</v>
      </c>
      <c r="D4" s="12">
        <f t="shared" ref="D4:D11" si="0">EDATE(B4,C4)</f>
        <v>45926</v>
      </c>
      <c r="F4" s="8" t="s">
        <v>5</v>
      </c>
      <c r="G4" s="5" t="s">
        <v>154</v>
      </c>
      <c r="H4" s="28">
        <v>12000</v>
      </c>
      <c r="I4" s="28">
        <v>10400</v>
      </c>
    </row>
    <row r="5" spans="1:13">
      <c r="A5" s="5" t="s">
        <v>155</v>
      </c>
      <c r="B5" s="12">
        <v>45429</v>
      </c>
      <c r="C5" s="27">
        <v>10</v>
      </c>
      <c r="D5" s="12">
        <f t="shared" si="0"/>
        <v>45733</v>
      </c>
      <c r="F5" s="8" t="s">
        <v>6</v>
      </c>
      <c r="G5" s="5" t="s">
        <v>63</v>
      </c>
      <c r="H5" s="28">
        <v>21600</v>
      </c>
      <c r="I5" s="28">
        <v>20100</v>
      </c>
    </row>
    <row r="6" spans="1:13">
      <c r="A6" s="5" t="s">
        <v>156</v>
      </c>
      <c r="B6" s="12">
        <v>45596</v>
      </c>
      <c r="C6" s="27">
        <v>12</v>
      </c>
      <c r="D6" s="12">
        <f t="shared" si="0"/>
        <v>45961</v>
      </c>
      <c r="F6" s="8" t="s">
        <v>7</v>
      </c>
      <c r="G6" s="5" t="s">
        <v>63</v>
      </c>
      <c r="H6" s="28">
        <v>14400</v>
      </c>
      <c r="I6" s="28">
        <v>12000</v>
      </c>
      <c r="K6" s="29" t="s">
        <v>157</v>
      </c>
    </row>
    <row r="7" spans="1:13">
      <c r="A7" s="5" t="s">
        <v>158</v>
      </c>
      <c r="B7" s="12">
        <v>45458</v>
      </c>
      <c r="C7" s="27">
        <v>18</v>
      </c>
      <c r="D7" s="12">
        <f t="shared" si="0"/>
        <v>46006</v>
      </c>
      <c r="F7" s="8" t="s">
        <v>8</v>
      </c>
      <c r="G7" s="5" t="s">
        <v>63</v>
      </c>
      <c r="H7" s="28">
        <v>15600</v>
      </c>
      <c r="I7" s="28">
        <v>14400</v>
      </c>
      <c r="K7" s="5" t="s">
        <v>238</v>
      </c>
    </row>
    <row r="8" spans="1:13">
      <c r="A8" s="5" t="s">
        <v>159</v>
      </c>
      <c r="B8" s="12">
        <v>45547</v>
      </c>
      <c r="C8" s="27">
        <v>10</v>
      </c>
      <c r="D8" s="12">
        <f t="shared" si="0"/>
        <v>45850</v>
      </c>
      <c r="F8" s="8" t="s">
        <v>29</v>
      </c>
      <c r="G8" s="5" t="s">
        <v>154</v>
      </c>
      <c r="H8" s="28">
        <v>19200</v>
      </c>
      <c r="I8" s="28">
        <v>19200</v>
      </c>
      <c r="K8" s="5" t="s">
        <v>239</v>
      </c>
    </row>
    <row r="9" spans="1:13">
      <c r="A9" s="5" t="s">
        <v>160</v>
      </c>
      <c r="B9" s="12">
        <v>45596</v>
      </c>
      <c r="C9" s="27">
        <v>12</v>
      </c>
      <c r="D9" s="12">
        <f t="shared" si="0"/>
        <v>45961</v>
      </c>
      <c r="F9" s="5" t="s">
        <v>161</v>
      </c>
      <c r="G9" s="5" t="s">
        <v>154</v>
      </c>
      <c r="H9" s="28">
        <v>13200</v>
      </c>
      <c r="I9" s="28">
        <v>11200</v>
      </c>
    </row>
    <row r="10" spans="1:13">
      <c r="A10" s="5" t="s">
        <v>162</v>
      </c>
      <c r="B10" s="12">
        <v>45622</v>
      </c>
      <c r="C10" s="27">
        <v>18</v>
      </c>
      <c r="D10" s="12">
        <f t="shared" si="0"/>
        <v>46168</v>
      </c>
      <c r="F10" s="8" t="s">
        <v>2</v>
      </c>
      <c r="G10" s="5" t="s">
        <v>152</v>
      </c>
      <c r="H10" s="28">
        <v>21300</v>
      </c>
      <c r="I10" s="28">
        <v>20800</v>
      </c>
      <c r="K10" s="7" t="s">
        <v>163</v>
      </c>
    </row>
    <row r="11" spans="1:13">
      <c r="A11" s="5" t="s">
        <v>164</v>
      </c>
      <c r="B11" s="12">
        <v>45429</v>
      </c>
      <c r="C11" s="27">
        <v>10</v>
      </c>
      <c r="D11" s="12">
        <f t="shared" si="0"/>
        <v>45733</v>
      </c>
      <c r="F11" s="8" t="s">
        <v>3</v>
      </c>
      <c r="G11" s="5" t="s">
        <v>63</v>
      </c>
      <c r="H11" s="28">
        <v>20800</v>
      </c>
      <c r="I11" s="28">
        <v>14400</v>
      </c>
      <c r="K11" s="6">
        <f>ROUNDUP(DAVERAGE(F2:I11,4,K7:K8),-2)</f>
        <v>15300</v>
      </c>
    </row>
    <row r="13" spans="1:13">
      <c r="A13" s="4" t="s">
        <v>30</v>
      </c>
      <c r="B13" s="11" t="s">
        <v>165</v>
      </c>
      <c r="C13" s="11"/>
      <c r="D13" s="11"/>
      <c r="F13" s="4" t="s">
        <v>166</v>
      </c>
      <c r="G13" s="11" t="s">
        <v>167</v>
      </c>
      <c r="H13" s="11"/>
      <c r="I13" s="11"/>
      <c r="K13" s="30" t="s">
        <v>168</v>
      </c>
    </row>
    <row r="14" spans="1:13">
      <c r="A14" s="5" t="s">
        <v>11</v>
      </c>
      <c r="B14" s="5" t="s">
        <v>169</v>
      </c>
      <c r="C14" s="5" t="s">
        <v>170</v>
      </c>
      <c r="D14" s="7" t="s">
        <v>171</v>
      </c>
      <c r="F14" s="5" t="s">
        <v>172</v>
      </c>
      <c r="G14" s="5" t="s">
        <v>173</v>
      </c>
      <c r="H14" s="5" t="s">
        <v>9</v>
      </c>
      <c r="I14" s="7" t="s">
        <v>174</v>
      </c>
      <c r="K14" s="5" t="s">
        <v>175</v>
      </c>
      <c r="L14" s="5" t="s">
        <v>173</v>
      </c>
      <c r="M14" s="5" t="s">
        <v>42</v>
      </c>
    </row>
    <row r="15" spans="1:13">
      <c r="A15" s="5" t="s">
        <v>176</v>
      </c>
      <c r="B15" s="5" t="s">
        <v>177</v>
      </c>
      <c r="C15" s="5">
        <v>432</v>
      </c>
      <c r="D15" s="5" t="str">
        <f>IF(C15&gt;480,"A++",IF(C15&gt;=450,"A+","일반"))</f>
        <v>일반</v>
      </c>
      <c r="F15" s="5" t="s">
        <v>178</v>
      </c>
      <c r="G15" s="5" t="s">
        <v>179</v>
      </c>
      <c r="H15" s="5">
        <v>45</v>
      </c>
      <c r="I15" s="28">
        <f>VLOOKUP(RIGHT(F15,1),$K$15:$M$19,3,FALSE)*H15</f>
        <v>135000</v>
      </c>
      <c r="K15" s="5" t="s">
        <v>180</v>
      </c>
      <c r="L15" s="5" t="s">
        <v>179</v>
      </c>
      <c r="M15" s="28">
        <v>3000</v>
      </c>
    </row>
    <row r="16" spans="1:13">
      <c r="A16" s="5" t="s">
        <v>181</v>
      </c>
      <c r="B16" s="5" t="s">
        <v>182</v>
      </c>
      <c r="C16" s="5">
        <v>498</v>
      </c>
      <c r="D16" s="5" t="str">
        <f t="shared" ref="D16:D21" si="1">IF(C16&gt;480,"A++",IF(C16&gt;=450,"A+","일반"))</f>
        <v>A++</v>
      </c>
      <c r="F16" s="5" t="s">
        <v>183</v>
      </c>
      <c r="G16" s="5" t="s">
        <v>184</v>
      </c>
      <c r="H16" s="5">
        <v>89</v>
      </c>
      <c r="I16" s="28">
        <f t="shared" ref="I16:I21" si="2">VLOOKUP(RIGHT(F16,1),$K$15:$M$19,3,FALSE)*H16</f>
        <v>249200</v>
      </c>
      <c r="K16" s="5" t="s">
        <v>185</v>
      </c>
      <c r="L16" s="5" t="s">
        <v>184</v>
      </c>
      <c r="M16" s="28">
        <v>2800</v>
      </c>
    </row>
    <row r="17" spans="1:13">
      <c r="A17" s="5" t="s">
        <v>186</v>
      </c>
      <c r="B17" s="5" t="s">
        <v>187</v>
      </c>
      <c r="C17" s="5">
        <v>412</v>
      </c>
      <c r="D17" s="5" t="str">
        <f t="shared" si="1"/>
        <v>일반</v>
      </c>
      <c r="F17" s="5" t="s">
        <v>188</v>
      </c>
      <c r="G17" s="5" t="s">
        <v>189</v>
      </c>
      <c r="H17" s="5">
        <v>230</v>
      </c>
      <c r="I17" s="28">
        <f t="shared" si="2"/>
        <v>172500</v>
      </c>
      <c r="K17" s="5" t="s">
        <v>20</v>
      </c>
      <c r="L17" s="5" t="s">
        <v>189</v>
      </c>
      <c r="M17" s="28">
        <v>750</v>
      </c>
    </row>
    <row r="18" spans="1:13">
      <c r="A18" s="5" t="s">
        <v>190</v>
      </c>
      <c r="B18" s="5" t="s">
        <v>191</v>
      </c>
      <c r="C18" s="5">
        <v>456</v>
      </c>
      <c r="D18" s="5" t="str">
        <f t="shared" si="1"/>
        <v>A+</v>
      </c>
      <c r="F18" s="5" t="s">
        <v>192</v>
      </c>
      <c r="G18" s="5" t="s">
        <v>193</v>
      </c>
      <c r="H18" s="5">
        <v>30</v>
      </c>
      <c r="I18" s="28">
        <f t="shared" si="2"/>
        <v>180000</v>
      </c>
      <c r="K18" s="5" t="s">
        <v>194</v>
      </c>
      <c r="L18" s="5" t="s">
        <v>193</v>
      </c>
      <c r="M18" s="28">
        <v>6000</v>
      </c>
    </row>
    <row r="19" spans="1:13">
      <c r="A19" s="5" t="s">
        <v>195</v>
      </c>
      <c r="B19" s="5" t="s">
        <v>196</v>
      </c>
      <c r="C19" s="5">
        <v>493</v>
      </c>
      <c r="D19" s="5" t="str">
        <f t="shared" si="1"/>
        <v>A++</v>
      </c>
      <c r="F19" s="5" t="s">
        <v>197</v>
      </c>
      <c r="G19" s="5" t="s">
        <v>179</v>
      </c>
      <c r="H19" s="5">
        <v>120</v>
      </c>
      <c r="I19" s="28">
        <f t="shared" si="2"/>
        <v>360000</v>
      </c>
      <c r="K19" s="5" t="s">
        <v>198</v>
      </c>
      <c r="L19" s="5" t="s">
        <v>199</v>
      </c>
      <c r="M19" s="28">
        <v>1600</v>
      </c>
    </row>
    <row r="20" spans="1:13">
      <c r="A20" s="5" t="s">
        <v>200</v>
      </c>
      <c r="B20" s="5" t="s">
        <v>201</v>
      </c>
      <c r="C20" s="5">
        <v>438</v>
      </c>
      <c r="D20" s="5" t="str">
        <f t="shared" si="1"/>
        <v>일반</v>
      </c>
      <c r="F20" s="5" t="s">
        <v>202</v>
      </c>
      <c r="G20" s="5" t="s">
        <v>199</v>
      </c>
      <c r="H20" s="5">
        <v>120</v>
      </c>
      <c r="I20" s="28">
        <f t="shared" si="2"/>
        <v>192000</v>
      </c>
    </row>
    <row r="21" spans="1:13">
      <c r="A21" s="5" t="s">
        <v>203</v>
      </c>
      <c r="B21" s="5" t="s">
        <v>204</v>
      </c>
      <c r="C21" s="5">
        <v>441</v>
      </c>
      <c r="D21" s="5" t="str">
        <f t="shared" si="1"/>
        <v>일반</v>
      </c>
      <c r="F21" s="5" t="s">
        <v>205</v>
      </c>
      <c r="G21" s="5" t="s">
        <v>184</v>
      </c>
      <c r="H21" s="5">
        <v>125</v>
      </c>
      <c r="I21" s="28">
        <f t="shared" si="2"/>
        <v>350000</v>
      </c>
    </row>
    <row r="23" spans="1:13">
      <c r="A23" s="4" t="s">
        <v>31</v>
      </c>
      <c r="B23" s="3" t="s">
        <v>206</v>
      </c>
      <c r="C23" s="3"/>
    </row>
    <row r="24" spans="1:13">
      <c r="A24" s="5" t="s">
        <v>207</v>
      </c>
      <c r="B24" s="5" t="s">
        <v>208</v>
      </c>
      <c r="C24" s="5" t="s">
        <v>209</v>
      </c>
      <c r="D24" s="7" t="s">
        <v>210</v>
      </c>
      <c r="F24" s="29"/>
      <c r="G24" s="29"/>
    </row>
    <row r="25" spans="1:13">
      <c r="A25" s="5">
        <v>2408001</v>
      </c>
      <c r="B25" s="8" t="s">
        <v>211</v>
      </c>
      <c r="C25" s="31">
        <v>0.42708333333333331</v>
      </c>
      <c r="D25" s="13" t="str">
        <f>RIGHT(B25,LEN(B25)-SEARCH("-",B25,1))</f>
        <v>Seoul</v>
      </c>
      <c r="E25" s="14"/>
      <c r="G25"/>
    </row>
    <row r="26" spans="1:13">
      <c r="A26" s="5">
        <v>2409001</v>
      </c>
      <c r="B26" s="8" t="s">
        <v>212</v>
      </c>
      <c r="C26" s="31">
        <v>0.4458333333333333</v>
      </c>
      <c r="D26" s="13" t="str">
        <f t="shared" ref="D26:D32" si="3">RIGHT(B26,LEN(B26)-SEARCH("-",B26,1))</f>
        <v>Athens</v>
      </c>
      <c r="E26" s="14"/>
      <c r="G26"/>
    </row>
    <row r="27" spans="1:13">
      <c r="A27" s="5">
        <v>2410002</v>
      </c>
      <c r="B27" s="8" t="s">
        <v>213</v>
      </c>
      <c r="C27" s="31">
        <v>0.45833333333333331</v>
      </c>
      <c r="D27" s="13" t="str">
        <f t="shared" si="3"/>
        <v>Tokyo</v>
      </c>
      <c r="E27" s="14"/>
      <c r="G27"/>
    </row>
    <row r="28" spans="1:13">
      <c r="A28" s="5">
        <v>2411002</v>
      </c>
      <c r="B28" s="8" t="s">
        <v>214</v>
      </c>
      <c r="C28" s="31">
        <v>0.46249999999999997</v>
      </c>
      <c r="D28" s="13" t="str">
        <f t="shared" si="3"/>
        <v>Paris</v>
      </c>
      <c r="E28" s="14"/>
      <c r="G28"/>
    </row>
    <row r="29" spans="1:13">
      <c r="A29" s="5">
        <v>2412001</v>
      </c>
      <c r="B29" s="8" t="s">
        <v>215</v>
      </c>
      <c r="C29" s="31">
        <v>0.47430555555555554</v>
      </c>
      <c r="D29" s="13" t="str">
        <f t="shared" si="3"/>
        <v>Brasilia</v>
      </c>
      <c r="E29" s="14"/>
      <c r="G29"/>
    </row>
    <row r="30" spans="1:13">
      <c r="A30" s="5">
        <v>2413002</v>
      </c>
      <c r="B30" s="8" t="s">
        <v>216</v>
      </c>
      <c r="C30" s="31">
        <v>0.49652777777777773</v>
      </c>
      <c r="D30" s="13" t="str">
        <f t="shared" si="3"/>
        <v>Santiago</v>
      </c>
      <c r="E30" s="14"/>
      <c r="G30"/>
    </row>
    <row r="31" spans="1:13">
      <c r="A31" s="5">
        <v>2414003</v>
      </c>
      <c r="B31" s="8" t="s">
        <v>217</v>
      </c>
      <c r="C31" s="31">
        <v>0.51250000000000007</v>
      </c>
      <c r="D31" s="13" t="str">
        <f t="shared" si="3"/>
        <v>Moskva</v>
      </c>
      <c r="E31" s="14"/>
      <c r="G31"/>
    </row>
    <row r="32" spans="1:13">
      <c r="A32" s="5">
        <v>2415001</v>
      </c>
      <c r="B32" s="8" t="s">
        <v>218</v>
      </c>
      <c r="C32" s="31">
        <v>0.51458333333333328</v>
      </c>
      <c r="D32" s="13" t="str">
        <f t="shared" si="3"/>
        <v>Cairo</v>
      </c>
      <c r="E32" s="14"/>
      <c r="G32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12"/>
  <sheetViews>
    <sheetView workbookViewId="0">
      <selection sqref="A1:G1"/>
    </sheetView>
  </sheetViews>
  <sheetFormatPr defaultRowHeight="16.5"/>
  <cols>
    <col min="5" max="5" width="10.75" bestFit="1" customWidth="1"/>
    <col min="7" max="7" width="10.75" bestFit="1" customWidth="1"/>
    <col min="8" max="8" width="3.75" customWidth="1"/>
  </cols>
  <sheetData>
    <row r="1" spans="1:10" ht="20.25">
      <c r="A1" s="38" t="s">
        <v>83</v>
      </c>
      <c r="B1" s="38"/>
      <c r="C1" s="38"/>
      <c r="D1" s="38"/>
      <c r="E1" s="38"/>
      <c r="F1" s="38"/>
      <c r="G1" s="38"/>
    </row>
    <row r="3" spans="1:10">
      <c r="A3" s="19" t="s">
        <v>84</v>
      </c>
      <c r="B3" s="19" t="s">
        <v>85</v>
      </c>
      <c r="C3" s="19" t="s">
        <v>88</v>
      </c>
      <c r="D3" s="19" t="s">
        <v>89</v>
      </c>
      <c r="E3" s="19" t="s">
        <v>28</v>
      </c>
      <c r="F3" s="19" t="s">
        <v>90</v>
      </c>
      <c r="G3" s="19" t="s">
        <v>91</v>
      </c>
      <c r="I3" s="19" t="s">
        <v>86</v>
      </c>
      <c r="J3" s="33" t="s">
        <v>87</v>
      </c>
    </row>
    <row r="4" spans="1:10">
      <c r="A4" s="40" t="s">
        <v>92</v>
      </c>
      <c r="B4" s="15">
        <v>1859</v>
      </c>
      <c r="C4" s="15">
        <v>240</v>
      </c>
      <c r="D4" s="15">
        <v>19</v>
      </c>
      <c r="E4" s="21">
        <f>$J$4*C4</f>
        <v>600000</v>
      </c>
      <c r="F4" s="22">
        <f>G4/E4</f>
        <v>0.92083333333333328</v>
      </c>
      <c r="G4" s="21">
        <f>E4-($J$4*D4)</f>
        <v>552500</v>
      </c>
      <c r="I4" s="15" t="s">
        <v>23</v>
      </c>
      <c r="J4" s="20">
        <v>2500</v>
      </c>
    </row>
    <row r="5" spans="1:10">
      <c r="A5" s="41"/>
      <c r="B5" s="15">
        <v>2463</v>
      </c>
      <c r="C5" s="15">
        <v>154</v>
      </c>
      <c r="D5" s="15">
        <v>31</v>
      </c>
      <c r="E5" s="21">
        <f>$J$5*C5</f>
        <v>539000</v>
      </c>
      <c r="F5" s="22">
        <f t="shared" ref="F5:F11" si="0">G5/E5</f>
        <v>0.79870129870129869</v>
      </c>
      <c r="G5" s="21">
        <f>E5-($J$5*D5)</f>
        <v>430500</v>
      </c>
      <c r="I5" s="15" t="s">
        <v>22</v>
      </c>
      <c r="J5" s="20">
        <v>3500</v>
      </c>
    </row>
    <row r="6" spans="1:10">
      <c r="A6" s="40" t="s">
        <v>93</v>
      </c>
      <c r="B6" s="15">
        <v>1975</v>
      </c>
      <c r="C6" s="15">
        <v>209</v>
      </c>
      <c r="D6" s="15">
        <v>22</v>
      </c>
      <c r="E6" s="21">
        <f>$J$4*C6</f>
        <v>522500</v>
      </c>
      <c r="F6" s="22">
        <f t="shared" si="0"/>
        <v>0.89473684210526316</v>
      </c>
      <c r="G6" s="21">
        <f>E6-($J$4*D6)</f>
        <v>467500</v>
      </c>
    </row>
    <row r="7" spans="1:10">
      <c r="A7" s="41"/>
      <c r="B7" s="15">
        <v>2647</v>
      </c>
      <c r="C7" s="15">
        <v>452</v>
      </c>
      <c r="D7" s="15">
        <v>26</v>
      </c>
      <c r="E7" s="21">
        <f>$J$5*C7</f>
        <v>1582000</v>
      </c>
      <c r="F7" s="22">
        <f t="shared" si="0"/>
        <v>0.94247787610619471</v>
      </c>
      <c r="G7" s="21">
        <f>E7-($J$5*D7)</f>
        <v>1491000</v>
      </c>
    </row>
    <row r="8" spans="1:10">
      <c r="A8" s="40" t="s">
        <v>94</v>
      </c>
      <c r="B8" s="15">
        <v>1766</v>
      </c>
      <c r="C8" s="15">
        <v>321</v>
      </c>
      <c r="D8" s="15">
        <v>13</v>
      </c>
      <c r="E8" s="21">
        <f>$J$4*C8</f>
        <v>802500</v>
      </c>
      <c r="F8" s="22">
        <f t="shared" si="0"/>
        <v>0.95950155763239875</v>
      </c>
      <c r="G8" s="21">
        <f>E8-($J$4*D8)</f>
        <v>770000</v>
      </c>
    </row>
    <row r="9" spans="1:10">
      <c r="A9" s="41"/>
      <c r="B9" s="15">
        <v>2034</v>
      </c>
      <c r="C9" s="15">
        <v>120</v>
      </c>
      <c r="D9" s="15">
        <v>48</v>
      </c>
      <c r="E9" s="21">
        <f>$J$5*C9</f>
        <v>420000</v>
      </c>
      <c r="F9" s="22">
        <f t="shared" si="0"/>
        <v>0.6</v>
      </c>
      <c r="G9" s="21">
        <f>E9-($J$5*D9)</f>
        <v>252000</v>
      </c>
    </row>
    <row r="10" spans="1:10">
      <c r="A10" s="40" t="s">
        <v>95</v>
      </c>
      <c r="B10" s="15">
        <v>1882</v>
      </c>
      <c r="C10" s="15">
        <v>410</v>
      </c>
      <c r="D10" s="15">
        <v>35</v>
      </c>
      <c r="E10" s="21">
        <f>$J$4*C10</f>
        <v>1025000</v>
      </c>
      <c r="F10" s="22">
        <f t="shared" si="0"/>
        <v>0.91463414634146345</v>
      </c>
      <c r="G10" s="21">
        <f>E10-($J$4*D10)</f>
        <v>937500</v>
      </c>
    </row>
    <row r="11" spans="1:10">
      <c r="A11" s="41"/>
      <c r="B11" s="15">
        <v>2541</v>
      </c>
      <c r="C11" s="15">
        <v>215</v>
      </c>
      <c r="D11" s="15">
        <v>32</v>
      </c>
      <c r="E11" s="21">
        <f>$J$5*C11</f>
        <v>752500</v>
      </c>
      <c r="F11" s="22">
        <f t="shared" si="0"/>
        <v>0.85116279069767442</v>
      </c>
      <c r="G11" s="21">
        <f>E11-($J$5*D11)</f>
        <v>640500</v>
      </c>
    </row>
    <row r="12" spans="1:10">
      <c r="B12" s="10"/>
      <c r="C12" s="10"/>
      <c r="D12" s="10"/>
      <c r="E12" s="39" t="s">
        <v>231</v>
      </c>
      <c r="F12" s="39"/>
      <c r="G12" s="32">
        <f>SUM(G4:G11)</f>
        <v>5541500</v>
      </c>
    </row>
  </sheetData>
  <mergeCells count="6">
    <mergeCell ref="E12:F12"/>
    <mergeCell ref="A4:A5"/>
    <mergeCell ref="A10:A11"/>
    <mergeCell ref="A1:G1"/>
    <mergeCell ref="A6:A7"/>
    <mergeCell ref="A8:A9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17"/>
  <sheetViews>
    <sheetView workbookViewId="0">
      <selection activeCell="A2" sqref="A2"/>
    </sheetView>
  </sheetViews>
  <sheetFormatPr defaultColWidth="8.75" defaultRowHeight="16.5"/>
  <cols>
    <col min="1" max="6" width="9" style="4" customWidth="1"/>
    <col min="7" max="16384" width="8.75" style="4"/>
  </cols>
  <sheetData>
    <row r="1" spans="1:11">
      <c r="A1" s="4" t="s">
        <v>96</v>
      </c>
      <c r="B1" s="3" t="s">
        <v>97</v>
      </c>
      <c r="C1" s="3"/>
      <c r="D1" s="3"/>
      <c r="E1" s="3"/>
      <c r="F1" s="3"/>
      <c r="H1" s="4" t="s">
        <v>98</v>
      </c>
      <c r="I1" s="4" t="s">
        <v>99</v>
      </c>
    </row>
    <row r="2" spans="1:11">
      <c r="A2" s="5" t="s">
        <v>100</v>
      </c>
      <c r="B2" s="5" t="s">
        <v>101</v>
      </c>
      <c r="C2" s="5" t="s">
        <v>102</v>
      </c>
      <c r="D2" s="5" t="s">
        <v>40</v>
      </c>
      <c r="E2" s="5" t="s">
        <v>103</v>
      </c>
      <c r="F2" s="5" t="s">
        <v>104</v>
      </c>
      <c r="H2" s="5" t="s">
        <v>101</v>
      </c>
      <c r="I2" s="5" t="s">
        <v>40</v>
      </c>
      <c r="J2" s="5" t="s">
        <v>103</v>
      </c>
      <c r="K2" s="5" t="s">
        <v>104</v>
      </c>
    </row>
    <row r="3" spans="1:11">
      <c r="A3" s="5" t="s">
        <v>105</v>
      </c>
      <c r="B3" s="5" t="s">
        <v>106</v>
      </c>
      <c r="C3" s="5" t="s">
        <v>107</v>
      </c>
      <c r="D3" s="23">
        <v>3000</v>
      </c>
      <c r="E3" s="23">
        <v>16000</v>
      </c>
      <c r="F3" s="23">
        <v>3200</v>
      </c>
    </row>
    <row r="4" spans="1:11">
      <c r="A4" s="5" t="s">
        <v>108</v>
      </c>
      <c r="B4" s="5" t="s">
        <v>106</v>
      </c>
      <c r="C4" s="5" t="s">
        <v>109</v>
      </c>
      <c r="D4" s="23">
        <v>4000</v>
      </c>
      <c r="E4" s="23">
        <v>5000</v>
      </c>
      <c r="F4" s="23">
        <v>1000</v>
      </c>
    </row>
    <row r="5" spans="1:11">
      <c r="A5" s="5" t="s">
        <v>25</v>
      </c>
      <c r="B5" s="5" t="s">
        <v>110</v>
      </c>
      <c r="C5" s="5" t="s">
        <v>107</v>
      </c>
      <c r="D5" s="23">
        <v>3000</v>
      </c>
      <c r="E5" s="23">
        <v>7000</v>
      </c>
      <c r="F5" s="23">
        <v>1400</v>
      </c>
    </row>
    <row r="6" spans="1:11">
      <c r="A6" s="5" t="s">
        <v>111</v>
      </c>
      <c r="B6" s="5" t="s">
        <v>110</v>
      </c>
      <c r="C6" s="5" t="s">
        <v>112</v>
      </c>
      <c r="D6" s="23">
        <v>1000</v>
      </c>
      <c r="E6" s="23">
        <v>32000</v>
      </c>
      <c r="F6" s="23">
        <v>6400</v>
      </c>
    </row>
    <row r="7" spans="1:11">
      <c r="A7" s="5" t="s">
        <v>113</v>
      </c>
      <c r="B7" s="5" t="s">
        <v>110</v>
      </c>
      <c r="C7" s="5" t="s">
        <v>109</v>
      </c>
      <c r="D7" s="23">
        <v>4000</v>
      </c>
      <c r="E7" s="23">
        <v>3000</v>
      </c>
      <c r="F7" s="23">
        <v>600</v>
      </c>
    </row>
    <row r="8" spans="1:11">
      <c r="A8" s="5" t="s">
        <v>114</v>
      </c>
      <c r="B8" s="5" t="s">
        <v>115</v>
      </c>
      <c r="C8" s="5" t="s">
        <v>112</v>
      </c>
      <c r="D8" s="23">
        <v>1000</v>
      </c>
      <c r="E8" s="23">
        <v>6000</v>
      </c>
      <c r="F8" s="23">
        <v>1200</v>
      </c>
    </row>
    <row r="9" spans="1:11">
      <c r="A9" s="5" t="s">
        <v>116</v>
      </c>
      <c r="B9" s="5" t="s">
        <v>115</v>
      </c>
      <c r="C9" s="5" t="s">
        <v>109</v>
      </c>
      <c r="D9" s="23">
        <v>4000</v>
      </c>
      <c r="E9" s="23">
        <v>22000</v>
      </c>
      <c r="F9" s="23">
        <v>4400</v>
      </c>
    </row>
    <row r="10" spans="1:11">
      <c r="A10" s="5" t="s">
        <v>117</v>
      </c>
      <c r="B10" s="5" t="s">
        <v>118</v>
      </c>
      <c r="C10" s="5" t="s">
        <v>107</v>
      </c>
      <c r="D10" s="23">
        <v>1000</v>
      </c>
      <c r="E10" s="23">
        <v>15000</v>
      </c>
      <c r="F10" s="23">
        <v>3000</v>
      </c>
    </row>
    <row r="11" spans="1:11">
      <c r="A11" s="5" t="s">
        <v>119</v>
      </c>
      <c r="B11" s="5" t="s">
        <v>118</v>
      </c>
      <c r="C11" s="5" t="s">
        <v>120</v>
      </c>
      <c r="D11" s="23">
        <v>5000</v>
      </c>
      <c r="E11" s="23">
        <v>28000</v>
      </c>
      <c r="F11" s="23">
        <v>5600</v>
      </c>
    </row>
    <row r="12" spans="1:11">
      <c r="A12" s="5" t="s">
        <v>108</v>
      </c>
      <c r="B12" s="5" t="s">
        <v>106</v>
      </c>
      <c r="C12" s="5" t="s">
        <v>109</v>
      </c>
      <c r="D12" s="23">
        <v>4000</v>
      </c>
      <c r="E12" s="23">
        <v>5000</v>
      </c>
      <c r="F12" s="23">
        <v>1000</v>
      </c>
    </row>
    <row r="13" spans="1:11">
      <c r="A13" s="5" t="s">
        <v>114</v>
      </c>
      <c r="B13" s="5" t="s">
        <v>115</v>
      </c>
      <c r="C13" s="5" t="s">
        <v>112</v>
      </c>
      <c r="D13" s="23">
        <v>1000</v>
      </c>
      <c r="E13" s="23">
        <v>6000</v>
      </c>
      <c r="F13" s="23">
        <v>1200</v>
      </c>
    </row>
    <row r="14" spans="1:11">
      <c r="A14" s="5" t="s">
        <v>121</v>
      </c>
      <c r="B14" s="5" t="s">
        <v>106</v>
      </c>
      <c r="C14" s="5" t="s">
        <v>109</v>
      </c>
      <c r="D14" s="23">
        <v>4000</v>
      </c>
      <c r="E14" s="23">
        <v>5000</v>
      </c>
      <c r="F14" s="23">
        <v>1000</v>
      </c>
    </row>
    <row r="15" spans="1:11">
      <c r="A15" s="5" t="s">
        <v>122</v>
      </c>
      <c r="B15" s="5" t="s">
        <v>110</v>
      </c>
      <c r="C15" s="5" t="s">
        <v>107</v>
      </c>
      <c r="D15" s="23">
        <v>3000</v>
      </c>
      <c r="E15" s="23">
        <v>7000</v>
      </c>
      <c r="F15" s="23">
        <v>1400</v>
      </c>
    </row>
    <row r="16" spans="1:11">
      <c r="A16" s="5" t="s">
        <v>123</v>
      </c>
      <c r="B16" s="5" t="s">
        <v>115</v>
      </c>
      <c r="C16" s="5" t="s">
        <v>112</v>
      </c>
      <c r="D16" s="23">
        <v>1000</v>
      </c>
      <c r="E16" s="23">
        <v>6000</v>
      </c>
      <c r="F16" s="23">
        <v>1200</v>
      </c>
    </row>
    <row r="17" spans="1:6">
      <c r="A17" s="5" t="s">
        <v>124</v>
      </c>
      <c r="B17" s="5" t="s">
        <v>118</v>
      </c>
      <c r="C17" s="5" t="s">
        <v>107</v>
      </c>
      <c r="D17" s="23">
        <v>1000</v>
      </c>
      <c r="E17" s="23">
        <v>15000</v>
      </c>
      <c r="F17" s="23">
        <v>3000</v>
      </c>
    </row>
  </sheetData>
  <dataConsolidate/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3"/>
  <sheetViews>
    <sheetView workbookViewId="0">
      <selection sqref="A1:I1"/>
    </sheetView>
  </sheetViews>
  <sheetFormatPr defaultRowHeight="16.5"/>
  <cols>
    <col min="3" max="3" width="14.375" bestFit="1" customWidth="1"/>
  </cols>
  <sheetData>
    <row r="1" spans="1:9" ht="20.25">
      <c r="A1" s="38" t="s">
        <v>125</v>
      </c>
      <c r="B1" s="38"/>
      <c r="C1" s="38"/>
      <c r="D1" s="38"/>
      <c r="E1" s="38"/>
      <c r="F1" s="38"/>
      <c r="G1" s="38"/>
      <c r="H1" s="38"/>
      <c r="I1" s="38"/>
    </row>
    <row r="3" spans="1:9">
      <c r="A3" s="24" t="s">
        <v>13</v>
      </c>
      <c r="B3" s="25" t="s">
        <v>12</v>
      </c>
      <c r="C3" s="25" t="s">
        <v>14</v>
      </c>
      <c r="D3" s="25" t="s">
        <v>126</v>
      </c>
      <c r="E3" s="25" t="s">
        <v>17</v>
      </c>
      <c r="F3" s="25" t="s">
        <v>18</v>
      </c>
      <c r="G3" s="25" t="s">
        <v>16</v>
      </c>
      <c r="H3" s="25" t="s">
        <v>24</v>
      </c>
      <c r="I3" s="25" t="s">
        <v>49</v>
      </c>
    </row>
    <row r="4" spans="1:9">
      <c r="A4" s="5" t="s">
        <v>32</v>
      </c>
      <c r="B4" s="9" t="s">
        <v>127</v>
      </c>
      <c r="C4" s="9" t="s">
        <v>128</v>
      </c>
      <c r="D4" s="9" t="s">
        <v>19</v>
      </c>
      <c r="E4" s="9">
        <v>89</v>
      </c>
      <c r="F4" s="9">
        <v>93</v>
      </c>
      <c r="G4" s="9">
        <v>81</v>
      </c>
      <c r="H4" s="9">
        <v>91</v>
      </c>
      <c r="I4" s="9"/>
    </row>
    <row r="5" spans="1:9">
      <c r="A5" s="5" t="s">
        <v>10</v>
      </c>
      <c r="B5" s="9" t="s">
        <v>129</v>
      </c>
      <c r="C5" s="9" t="s">
        <v>130</v>
      </c>
      <c r="D5" s="9" t="s">
        <v>19</v>
      </c>
      <c r="E5" s="9">
        <v>76</v>
      </c>
      <c r="F5" s="9">
        <v>86</v>
      </c>
      <c r="G5" s="9">
        <v>89</v>
      </c>
      <c r="H5" s="9">
        <v>93</v>
      </c>
      <c r="I5" s="9"/>
    </row>
    <row r="6" spans="1:9">
      <c r="A6" s="5" t="s">
        <v>33</v>
      </c>
      <c r="B6" s="9" t="s">
        <v>131</v>
      </c>
      <c r="C6" s="9" t="s">
        <v>132</v>
      </c>
      <c r="D6" s="9" t="s">
        <v>19</v>
      </c>
      <c r="E6" s="9">
        <v>46</v>
      </c>
      <c r="F6" s="9">
        <v>77</v>
      </c>
      <c r="G6" s="9">
        <v>56</v>
      </c>
      <c r="H6" s="9">
        <v>97</v>
      </c>
      <c r="I6" s="9"/>
    </row>
    <row r="7" spans="1:9">
      <c r="A7" s="5" t="s">
        <v>34</v>
      </c>
      <c r="B7" s="9" t="s">
        <v>133</v>
      </c>
      <c r="C7" s="9" t="s">
        <v>128</v>
      </c>
      <c r="D7" s="9" t="s">
        <v>134</v>
      </c>
      <c r="E7" s="9">
        <v>98</v>
      </c>
      <c r="F7" s="9">
        <v>98</v>
      </c>
      <c r="G7" s="9">
        <v>91</v>
      </c>
      <c r="H7" s="9">
        <v>89</v>
      </c>
      <c r="I7" s="9"/>
    </row>
    <row r="8" spans="1:9">
      <c r="A8" s="5" t="s">
        <v>35</v>
      </c>
      <c r="B8" s="9" t="s">
        <v>135</v>
      </c>
      <c r="C8" s="9" t="s">
        <v>132</v>
      </c>
      <c r="D8" s="9" t="s">
        <v>19</v>
      </c>
      <c r="E8" s="9">
        <v>81</v>
      </c>
      <c r="F8" s="9">
        <v>94</v>
      </c>
      <c r="G8" s="9">
        <v>87</v>
      </c>
      <c r="H8" s="9">
        <v>91</v>
      </c>
      <c r="I8" s="9"/>
    </row>
    <row r="9" spans="1:9">
      <c r="A9" s="5" t="s">
        <v>36</v>
      </c>
      <c r="B9" s="9" t="s">
        <v>136</v>
      </c>
      <c r="C9" s="9" t="s">
        <v>137</v>
      </c>
      <c r="D9" s="9" t="s">
        <v>134</v>
      </c>
      <c r="E9" s="9">
        <v>53</v>
      </c>
      <c r="F9" s="9">
        <v>24</v>
      </c>
      <c r="G9" s="9">
        <v>16</v>
      </c>
      <c r="H9" s="9">
        <v>96</v>
      </c>
      <c r="I9" s="9"/>
    </row>
    <row r="10" spans="1:9">
      <c r="A10" s="5" t="s">
        <v>37</v>
      </c>
      <c r="B10" s="9" t="s">
        <v>138</v>
      </c>
      <c r="C10" s="9" t="s">
        <v>130</v>
      </c>
      <c r="D10" s="9" t="s">
        <v>134</v>
      </c>
      <c r="E10" s="9">
        <v>81</v>
      </c>
      <c r="F10" s="9">
        <v>76</v>
      </c>
      <c r="G10" s="9">
        <v>87</v>
      </c>
      <c r="H10" s="9">
        <v>86</v>
      </c>
      <c r="I10" s="9"/>
    </row>
    <row r="11" spans="1:9">
      <c r="A11" s="5" t="s">
        <v>38</v>
      </c>
      <c r="B11" s="9" t="s">
        <v>139</v>
      </c>
      <c r="C11" s="9" t="s">
        <v>137</v>
      </c>
      <c r="D11" s="9" t="s">
        <v>19</v>
      </c>
      <c r="E11" s="9">
        <v>96</v>
      </c>
      <c r="F11" s="9">
        <v>97</v>
      </c>
      <c r="G11" s="9">
        <v>98</v>
      </c>
      <c r="H11" s="9">
        <v>99</v>
      </c>
      <c r="I11" s="9"/>
    </row>
    <row r="12" spans="1:9">
      <c r="A12" s="9" t="s">
        <v>140</v>
      </c>
      <c r="B12" s="9" t="s">
        <v>141</v>
      </c>
      <c r="C12" s="9" t="s">
        <v>132</v>
      </c>
      <c r="D12" s="9" t="s">
        <v>19</v>
      </c>
      <c r="E12" s="9">
        <v>76</v>
      </c>
      <c r="F12" s="9">
        <v>59</v>
      </c>
      <c r="G12" s="9">
        <v>96</v>
      </c>
      <c r="H12" s="9">
        <v>93</v>
      </c>
      <c r="I12" s="9"/>
    </row>
    <row r="13" spans="1:9">
      <c r="A13" s="9" t="s">
        <v>142</v>
      </c>
      <c r="B13" s="9" t="s">
        <v>143</v>
      </c>
      <c r="C13" s="9" t="s">
        <v>137</v>
      </c>
      <c r="D13" s="9" t="s">
        <v>134</v>
      </c>
      <c r="E13" s="9">
        <v>65</v>
      </c>
      <c r="F13" s="9">
        <v>86</v>
      </c>
      <c r="G13" s="9">
        <v>51</v>
      </c>
      <c r="H13" s="9">
        <v>91</v>
      </c>
      <c r="I13" s="9"/>
    </row>
  </sheetData>
  <mergeCells count="1">
    <mergeCell ref="A1:I1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8"/>
  <sheetViews>
    <sheetView workbookViewId="0">
      <selection activeCell="A2" sqref="A2"/>
    </sheetView>
  </sheetViews>
  <sheetFormatPr defaultRowHeight="16.5"/>
  <cols>
    <col min="1" max="1" width="10.375" bestFit="1" customWidth="1"/>
  </cols>
  <sheetData>
    <row r="1" spans="1:4">
      <c r="A1" t="s">
        <v>0</v>
      </c>
      <c r="B1" t="s">
        <v>219</v>
      </c>
    </row>
    <row r="2" spans="1:4">
      <c r="A2" s="2" t="s">
        <v>220</v>
      </c>
      <c r="B2" s="2" t="s">
        <v>227</v>
      </c>
      <c r="C2" s="2" t="s">
        <v>228</v>
      </c>
      <c r="D2" s="2" t="s">
        <v>229</v>
      </c>
    </row>
    <row r="3" spans="1:4">
      <c r="A3" s="2" t="s">
        <v>221</v>
      </c>
      <c r="B3" s="2">
        <v>250</v>
      </c>
      <c r="C3" s="2">
        <v>680</v>
      </c>
      <c r="D3" s="2">
        <v>1350</v>
      </c>
    </row>
    <row r="4" spans="1:4">
      <c r="A4" s="2" t="s">
        <v>222</v>
      </c>
      <c r="B4" s="2">
        <v>150</v>
      </c>
      <c r="C4" s="2">
        <v>350</v>
      </c>
      <c r="D4" s="2">
        <v>450</v>
      </c>
    </row>
    <row r="5" spans="1:4">
      <c r="A5" s="2" t="s">
        <v>223</v>
      </c>
      <c r="B5" s="2">
        <v>514</v>
      </c>
      <c r="C5" s="2">
        <v>700</v>
      </c>
      <c r="D5" s="2">
        <v>1000</v>
      </c>
    </row>
    <row r="6" spans="1:4">
      <c r="A6" s="2" t="s">
        <v>224</v>
      </c>
      <c r="B6" s="2">
        <v>258</v>
      </c>
      <c r="C6" s="2">
        <v>750</v>
      </c>
      <c r="D6" s="2">
        <v>1200</v>
      </c>
    </row>
    <row r="7" spans="1:4">
      <c r="A7" s="2" t="s">
        <v>225</v>
      </c>
      <c r="B7" s="2">
        <v>521</v>
      </c>
      <c r="C7" s="2">
        <v>521</v>
      </c>
      <c r="D7" s="2">
        <v>950</v>
      </c>
    </row>
    <row r="8" spans="1:4">
      <c r="A8" s="2" t="s">
        <v>226</v>
      </c>
      <c r="B8" s="2">
        <v>845</v>
      </c>
      <c r="C8" s="2">
        <v>510</v>
      </c>
      <c r="D8" s="2">
        <v>450</v>
      </c>
    </row>
  </sheetData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김종일</dc:creator>
  <cp:lastModifiedBy>user</cp:lastModifiedBy>
  <dcterms:created xsi:type="dcterms:W3CDTF">2017-06-22T02:17:53Z</dcterms:created>
  <dcterms:modified xsi:type="dcterms:W3CDTF">2024-10-15T00:53:16Z</dcterms:modified>
</cp:coreProperties>
</file>